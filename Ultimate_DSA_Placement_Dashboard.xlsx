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ctions" sheetId="1" r:id="rId1"/>
    <sheet name="Settings" sheetId="2" r:id="rId2"/>
    <sheet name="Pattern Encyclopedia" sheetId="3" r:id="rId3"/>
    <sheet name="Master Problem Database" sheetId="4" r:id="rId4"/>
    <sheet name="Smart Recommendations" sheetId="5" r:id="rId5"/>
    <sheet name="Search Engine" sheetId="6" r:id="rId6"/>
    <sheet name="Today's Revision" sheetId="7" r:id="rId7"/>
    <sheet name="Green Problems" sheetId="8" r:id="rId8"/>
    <sheet name="Yellow Problems" sheetId="9" r:id="rId9"/>
    <sheet name="Red Problems" sheetId="10" r:id="rId10"/>
    <sheet name="Pattern Tracker" sheetId="11" r:id="rId11"/>
    <sheet name="Company Readiness" sheetId="12" r:id="rId12"/>
    <sheet name="Mock OA Tracker" sheetId="13" r:id="rId13"/>
    <sheet name="Mistake Database" sheetId="14" r:id="rId14"/>
    <sheet name="CS Fundamentals" sheetId="15" r:id="rId15"/>
    <sheet name="Interview Journal" sheetId="16" r:id="rId16"/>
    <sheet name="Analytics" sheetId="17" r:id="rId17"/>
    <sheet name="Dashboard" sheetId="18" r:id="rId18"/>
    <sheet name="Notes" sheetId="19" r:id="rId19"/>
    <sheet name="Changelog" sheetId="20" r:id="rId20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<sst xmlns="http://schemas.openxmlformats.org/spreadsheetml/2006/main" count="5529" uniqueCount="842">
  <si>
    <t>Ultimate DSA Placement Dashboard v3.0</t>
  </si>
  <si>
    <t>Principal Software Edition - Dynamic Knowledge &amp; Analytics Engine</t>
  </si>
  <si>
    <t>Workbook Overview</t>
  </si>
  <si>
    <t>This workbook represents a premium placement preparation engine with 307 problems. Version 3.0 integrates a Mistakes Database, Pattern Encyclopedia, a live Dynamic Search Engine, and a Balanced Dynamic Revision prioritizing Weakness, ROI, and Confidence.</t>
  </si>
  <si>
    <t>Revision Color Indicators</t>
  </si>
  <si>
    <t>Status</t>
  </si>
  <si>
    <t>Rule / Delay</t>
  </si>
  <si>
    <t>Suggested Schedule</t>
  </si>
  <si>
    <t>Green</t>
  </si>
  <si>
    <t>Solved under target time without hints.</t>
  </si>
  <si>
    <t>Review in 30 days.</t>
  </si>
  <si>
    <t>Yellow</t>
  </si>
  <si>
    <t>Solved using hints or took between 15-30 minutes.</t>
  </si>
  <si>
    <t>Review in 7 days.</t>
  </si>
  <si>
    <t>Red</t>
  </si>
  <si>
    <t>Could not solve, required looking up solution, or took &gt;30 mins.</t>
  </si>
  <si>
    <t>Review in 2 days.</t>
  </si>
  <si>
    <t>Dashboard Quick Navigation Shortcuts</t>
  </si>
  <si>
    <t>Sheet Link</t>
  </si>
  <si>
    <t>Core Utility</t>
  </si>
  <si>
    <t>Key Dynamic Formula Features</t>
  </si>
  <si>
    <t>Search Engine</t>
  </si>
  <si>
    <t>Perform complex multi-variable filters on the entire problem catalog.</t>
  </si>
  <si>
    <t>Nested FILTER with boolean multipliers</t>
  </si>
  <si>
    <t>Smart Recommendations</t>
  </si>
  <si>
    <t>Review customized, live suggestions for Weak Patterns, Forgotten Problems, and target companies.</t>
  </si>
  <si>
    <t>CHOOSEROWS, TEXTJOIN, SORTBY</t>
  </si>
  <si>
    <t>CS Topics</t>
  </si>
  <si>
    <t>OOP</t>
  </si>
  <si>
    <t>DBMS</t>
  </si>
  <si>
    <t>SQL</t>
  </si>
  <si>
    <t>Operating Systems</t>
  </si>
  <si>
    <t>Computer Networks</t>
  </si>
  <si>
    <t>Difficulties</t>
  </si>
  <si>
    <t>Easy</t>
  </si>
  <si>
    <t>Medium</t>
  </si>
  <si>
    <t>Hard</t>
  </si>
  <si>
    <t>Statuses</t>
  </si>
  <si>
    <t>Patterns</t>
  </si>
  <si>
    <t>Arrays</t>
  </si>
  <si>
    <t>BFS</t>
  </si>
  <si>
    <t>BST</t>
  </si>
  <si>
    <t>Backtracking</t>
  </si>
  <si>
    <t>Binary Search</t>
  </si>
  <si>
    <t>Binary Search on Answer</t>
  </si>
  <si>
    <t>Bit Manipulation</t>
  </si>
  <si>
    <t>DFS</t>
  </si>
  <si>
    <t>Dynamic Programming</t>
  </si>
  <si>
    <t>Greedy</t>
  </si>
  <si>
    <t>HashMap</t>
  </si>
  <si>
    <t>Heap</t>
  </si>
  <si>
    <t>Intervals</t>
  </si>
  <si>
    <t>Kadane</t>
  </si>
  <si>
    <t>Linked List</t>
  </si>
  <si>
    <t>Matrix</t>
  </si>
  <si>
    <t>Monotonic Stack</t>
  </si>
  <si>
    <t>Prefix Sum</t>
  </si>
  <si>
    <t>Queue</t>
  </si>
  <si>
    <t>Recursion</t>
  </si>
  <si>
    <t>Sliding Window</t>
  </si>
  <si>
    <t>Topological Sort</t>
  </si>
  <si>
    <t>Trees</t>
  </si>
  <si>
    <t>Trie</t>
  </si>
  <si>
    <t>Two Pointer</t>
  </si>
  <si>
    <t>Union Find</t>
  </si>
  <si>
    <t>Companies</t>
  </si>
  <si>
    <t>Accenture</t>
  </si>
  <si>
    <t>Infosys</t>
  </si>
  <si>
    <t>Capgemini</t>
  </si>
  <si>
    <t>Cognizant</t>
  </si>
  <si>
    <t>Deloitte</t>
  </si>
  <si>
    <t>EY</t>
  </si>
  <si>
    <t>Oracle</t>
  </si>
  <si>
    <t>JPMC</t>
  </si>
  <si>
    <t>LTIMindtree</t>
  </si>
  <si>
    <t>Virtusa</t>
  </si>
  <si>
    <t>Confidences</t>
  </si>
  <si>
    <t>Mistake Types</t>
  </si>
  <si>
    <t>Off by one</t>
  </si>
  <si>
    <t>Overflow</t>
  </si>
  <si>
    <t>Wrong Binary Search</t>
  </si>
  <si>
    <t>Wrong Sliding Window</t>
  </si>
  <si>
    <t>Wrong DFS</t>
  </si>
  <si>
    <t>Boundary Case</t>
  </si>
  <si>
    <t>Recursion Error</t>
  </si>
  <si>
    <t>Null Pointer</t>
  </si>
  <si>
    <t>Forgot Observation</t>
  </si>
  <si>
    <t>Date</t>
  </si>
  <si>
    <t>Solved</t>
  </si>
  <si>
    <t>DSA Topics</t>
  </si>
  <si>
    <t>Hashing</t>
  </si>
  <si>
    <t>Strings</t>
  </si>
  <si>
    <t>Stack &amp; Queue</t>
  </si>
  <si>
    <t>Binary Trees</t>
  </si>
  <si>
    <t>Graphs</t>
  </si>
  <si>
    <t>Math/Misc</t>
  </si>
  <si>
    <t>Disjoint Algorithms &amp; DSA Coding Pattern Encyclopedia</t>
  </si>
  <si>
    <t>Pattern Name</t>
  </si>
  <si>
    <t>Recognition Clues</t>
  </si>
  <si>
    <t>When to Use</t>
  </si>
  <si>
    <t>When NOT to Use</t>
  </si>
  <si>
    <t>Common Mistakes</t>
  </si>
  <si>
    <t>Time Complexity</t>
  </si>
  <si>
    <t>Space Complexity</t>
  </si>
  <si>
    <t>Representative Problems</t>
  </si>
  <si>
    <t>Top Interview Questions</t>
  </si>
  <si>
    <t>ROI</t>
  </si>
  <si>
    <t>Campus Frequency</t>
  </si>
  <si>
    <t>Expected Difficulty</t>
  </si>
  <si>
    <t>Contiguous elements, index lookup, static size, subarray/subsequence.</t>
  </si>
  <si>
    <t>Direct mapping, fixed bounds, fast random access required.</t>
  </si>
  <si>
    <t>Frequent insertions/deletions at start or middle.</t>
  </si>
  <si>
    <t>Out of bounds index, incorrect subarray sizing, integer overflow.</t>
  </si>
  <si>
    <t>O(1) lookup, O(N) traversal</t>
  </si>
  <si>
    <t>O(1) extra space</t>
  </si>
  <si>
    <t>Two Sum, Maximum Subarray</t>
  </si>
  <si>
    <t>Kadane's Algorithm, Merge Intervals</t>
  </si>
  <si>
    <t>★★★★★</t>
  </si>
  <si>
    <t>Easy to Medium</t>
  </si>
  <si>
    <t>O(1) search, frequency counting, check existence, lookup key.</t>
  </si>
  <si>
    <t>Fast element mapping, count occurrences, anagram checks.</t>
  </si>
  <si>
    <t>Inputs are sorted and space complexity is O(1) constrained.</t>
  </si>
  <si>
    <t>Ignoring hash collisions, modifying map while iterating.</t>
  </si>
  <si>
    <t>O(1) average lookup/insert</t>
  </si>
  <si>
    <t>O(N) space</t>
  </si>
  <si>
    <t>Contains Duplicate, Group Anagrams</t>
  </si>
  <si>
    <t>Subarray Sum Equals K, Two Sum</t>
  </si>
  <si>
    <t>Contiguous subarray/substring, min/max length, sum/target constraint.</t>
  </si>
  <si>
    <t>Linear scans of sub-sequences with size bounds.</t>
  </si>
  <si>
    <t>Non-contiguous subsets or dynamic sorting required.</t>
  </si>
  <si>
    <t>Off-by-one window size calculations, wrong shrink loop boundary.</t>
  </si>
  <si>
    <t>O(N)</t>
  </si>
  <si>
    <t>O(1) or O(K) where K is character set size</t>
  </si>
  <si>
    <t>Longest Substring Without Repeating Characters, Minimum Window Substring</t>
  </si>
  <si>
    <t>Subarrays with K Different Integers</t>
  </si>
  <si>
    <t>Medium to Hard</t>
  </si>
  <si>
    <t>Sorted array, pair search, partition, fast/slow traversal, dynamic boundaries.</t>
  </si>
  <si>
    <t>Shrinking/expanding search space from ends, list cycle detection.</t>
  </si>
  <si>
    <t>Unsorted array where sorting is not feasible.</t>
  </si>
  <si>
    <t>Infinite pointer increment loops, pointer crossings.</t>
  </si>
  <si>
    <t>O(1)</t>
  </si>
  <si>
    <t>3Sum, Container With Most Water</t>
  </si>
  <si>
    <t>Trapping Rain Water, Two Sum II</t>
  </si>
  <si>
    <t>Subarray sums, range queries, multiple lookups, cumulative calculations.</t>
  </si>
  <si>
    <t>O(1) range sum queries, prefix product, prefix XOR.</t>
  </si>
  <si>
    <t>Array values are updated frequently (use Segment Tree instead).</t>
  </si>
  <si>
    <t>Off-by-one index offsets, overflow on large accumulations.</t>
  </si>
  <si>
    <t>O(1) query, O(N) precomputation</t>
  </si>
  <si>
    <t>Product of Array Except Self, Subarray Sum Equals K</t>
  </si>
  <si>
    <t>Subarray Sums Divisible by K</t>
  </si>
  <si>
    <t>★★★★☆</t>
  </si>
  <si>
    <t>Max subarray sum, max subarray product, global vs local maximums.</t>
  </si>
  <si>
    <t>Continuous subarray optimizing maximum sum/product.</t>
  </si>
  <si>
    <t>Non-contiguous sub-sequences or dynamic sum bounds.</t>
  </si>
  <si>
    <t>Resetting max sum to 0 when negative numbers are valid outputs.</t>
  </si>
  <si>
    <t>Maximum Subarray, Maximum Product Subarray</t>
  </si>
  <si>
    <t>Maximum Subarray Sum</t>
  </si>
  <si>
    <t>Sorted array, O(log N) runtime constraint, search index, search insertion point.</t>
  </si>
  <si>
    <t>Finding target in partitioned monotonic sequence.</t>
  </si>
  <si>
    <t>Unsorted input, linked lists (slow random access).</t>
  </si>
  <si>
    <t>Integer overflow in (l+r)/2, search boundary update off-by-one.</t>
  </si>
  <si>
    <t>O(log N)</t>
  </si>
  <si>
    <t>Search in Rotated Sorted Array, First and Last Position</t>
  </si>
  <si>
    <t>Median of Two Sorted Arrays</t>
  </si>
  <si>
    <t>Minimize the maximum value, maximize the minimum value, feasibility helper.</t>
  </si>
  <si>
    <t>Output space is monotonic and bounded, checking feasibility is O(N).</t>
  </si>
  <si>
    <t>Output space is discontinuous or non-monotonic.</t>
  </si>
  <si>
    <t>Choosing incorrect low/high bounds, incorrect feasibility logic.</t>
  </si>
  <si>
    <t>O(N log M) where M is search space</t>
  </si>
  <si>
    <t>Koko Eating Bananas, Book Allocation Problem</t>
  </si>
  <si>
    <t>Aggressive Cows, Split Array Largest Sum</t>
  </si>
  <si>
    <t>Local optimal choice, sorting by attributes, standard interval scheduling.</t>
  </si>
  <si>
    <t>Problem possesses greedy choice property and optimal substructure.</t>
  </si>
  <si>
    <t>Requires backtracking or checking all combinations (use DP).</t>
  </si>
  <si>
    <t>Failing to prove greedy choice correctness, wrong sorting comparator.</t>
  </si>
  <si>
    <t>O(N log N) due to sorting</t>
  </si>
  <si>
    <t>O(1) or O(N)</t>
  </si>
  <si>
    <t>Jump Game, Assign Cookies</t>
  </si>
  <si>
    <t>Gas Station, Merge Intervals</t>
  </si>
  <si>
    <t>Overlapping ranges, meetings, intervals, scheduling, merge ranges.</t>
  </si>
  <si>
    <t>Input represents ranges with start/end boundaries.</t>
  </si>
  <si>
    <t>No overlapping relation needed.</t>
  </si>
  <si>
    <t>Sorting by end time instead of start time (or vice versa), border conditions.</t>
  </si>
  <si>
    <t>O(N log N)</t>
  </si>
  <si>
    <t>Merge Intervals, Insert Interval</t>
  </si>
  <si>
    <t>Meeting Rooms II, Non-overlapping Intervals</t>
  </si>
  <si>
    <t>Next greater element, next smaller element, histogram, stock span.</t>
  </si>
  <si>
    <t>Compare element with previous contiguous elements, O(N) constraint.</t>
  </si>
  <si>
    <t>General stack problems where order is arbitrary.</t>
  </si>
  <si>
    <t>Popping on wrong comparator, empty stack check missing.</t>
  </si>
  <si>
    <t>Next Greater Element, Daily Temperatures</t>
  </si>
  <si>
    <t>Largest Rectangle in Histogram, Trapping Rain Water</t>
  </si>
  <si>
    <t>FIFO, sliding window maximum, BFS traversal, scheduling.</t>
  </si>
  <si>
    <t>Process items in order of arrival, level-order tree scans.</t>
  </si>
  <si>
    <t>LIFO ordering or random index updates.</t>
  </si>
  <si>
    <t>Queue size modification during iterations, queue overflow.</t>
  </si>
  <si>
    <t>O(1) push/pop</t>
  </si>
  <si>
    <t>Implement Queue using Stacks, Sliding Window Maximum</t>
  </si>
  <si>
    <t>Sliding Window Maximum, Rotting Oranges</t>
  </si>
  <si>
    <t>Nodes, pointers, fast/slow pointer, dummy node, reverse list, cycles.</t>
  </si>
  <si>
    <t>Sequential processing with fast insert/delete at cursor.</t>
  </si>
  <si>
    <t>Requires random indexing access.</t>
  </si>
  <si>
    <t>Null pointer exceptions, losing head node reference, cyclic loops.</t>
  </si>
  <si>
    <t>Reverse Linked List, Cycle Detection</t>
  </si>
  <si>
    <t>Merge Two Sorted Lists, Copy List with Random Pointer</t>
  </si>
  <si>
    <t>Root, nodes, children, binary tree, LCA, path sum, diameter, height.</t>
  </si>
  <si>
    <t>Hierarchical datasets, recursion traversal.</t>
  </si>
  <si>
    <t>Cyclic relationships (use Graph instead).</t>
  </si>
  <si>
    <t>Missing base case check for empty leaf, recursion stack overflow.</t>
  </si>
  <si>
    <t>O(H) recursion stack height</t>
  </si>
  <si>
    <t>Maximum Depth of Binary Tree, LCA of Binary Tree</t>
  </si>
  <si>
    <t>Binary Tree Maximum Path Sum, Diameter of Binary Tree</t>
  </si>
  <si>
    <t>Sorted tree properties, left child &lt; root &lt; right child, inorder traversal.</t>
  </si>
  <si>
    <t>Efficient search, insertion, and deletion on ordered sets.</t>
  </si>
  <si>
    <t>Tree is unbalanced (skewed), leading to O(N) operations.</t>
  </si>
  <si>
    <t>Failing to check if left child is smaller than lower bounds.</t>
  </si>
  <si>
    <t>O(log N) balanced, O(N) skewed</t>
  </si>
  <si>
    <t>O(H)</t>
  </si>
  <si>
    <t>Validate BST, Search in BST</t>
  </si>
  <si>
    <t>BST Iterator, Kth Smallest Element in BST</t>
  </si>
  <si>
    <t>Top K elements, min/max values, merge sorted lists, running median.</t>
  </si>
  <si>
    <t>Accessing min/max element in O(1) dynamically.</t>
  </si>
  <si>
    <t>Requires search of arbitrary elements (O(N) in heap).</t>
  </si>
  <si>
    <t>Choosing Min Heap instead of Max Heap (or vice-versa).</t>
  </si>
  <si>
    <t>O(log N) insert/delete, O(1) top lookup</t>
  </si>
  <si>
    <t>O(K) or O(N)</t>
  </si>
  <si>
    <t>Kth Largest Element in Array, Merge k Sorted Lists</t>
  </si>
  <si>
    <t>Find Median from Data Stream, Top K Frequent Elements</t>
  </si>
  <si>
    <t>Explore deep path, path search, grid islands, recursion stack.</t>
  </si>
  <si>
    <t>Traversing all nodes, finding simple paths, backtracking.</t>
  </si>
  <si>
    <t>Finding shortest path in unweighted graph (use BFS).</t>
  </si>
  <si>
    <t>No visited set causing infinite loops, missing base case checks.</t>
  </si>
  <si>
    <t>O(V + E)</t>
  </si>
  <si>
    <t>O(V) recursion stack</t>
  </si>
  <si>
    <t>Path Sum, Number of Islands</t>
  </si>
  <si>
    <t>Clone Graph, Word Search</t>
  </si>
  <si>
    <t>Shortest path, level-order, grid distance, queue-based traversal.</t>
  </si>
  <si>
    <t>Shortest path in unweighted graph, level-by-level exploration.</t>
  </si>
  <si>
    <t>Deep nested search where path memory is constrained.</t>
  </si>
  <si>
    <t>Failing to mark node visited before pushing to queue.</t>
  </si>
  <si>
    <t>O(V)</t>
  </si>
  <si>
    <t>Binary Tree Level Order Traversal, Word Ladder</t>
  </si>
  <si>
    <t>Rotting Oranges, Clone Graph</t>
  </si>
  <si>
    <t>Dependencies, course schedule, ordering, DAG.</t>
  </si>
  <si>
    <t>Linear ordering of vertices where A must precede B.</t>
  </si>
  <si>
    <t>Graph contains cycles (topological sort is impossible).</t>
  </si>
  <si>
    <t>Ignoring cycle detection, wrong in-degree initialization.</t>
  </si>
  <si>
    <t>Course Schedule, Course Schedule II</t>
  </si>
  <si>
    <t>Course Schedule II, Alien Dictionary</t>
  </si>
  <si>
    <t>Connected components, disjoint sets, dynamic connectivity.</t>
  </si>
  <si>
    <t>Cycle detection in undirected graph, dynamic set merge.</t>
  </si>
  <si>
    <t>Directed graphs or search path tracing.</t>
  </si>
  <si>
    <t>Failing to use path compression (reduces time complexity).</t>
  </si>
  <si>
    <t>O(alpha(N)) near-constant</t>
  </si>
  <si>
    <t>Number of Provinces, Redundant Connection</t>
  </si>
  <si>
    <t>Accounts Merge, Redundant Connection</t>
  </si>
  <si>
    <t>Prefix search, dictionary, auto-complete, word suggestions, binary trie.</t>
  </si>
  <si>
    <t>Prefix matching, search words by starting characters.</t>
  </si>
  <si>
    <t>Simple exact matches where hash map is faster and uses less memory.</t>
  </si>
  <si>
    <t>Memory leak from unallocated nodes, wrong character index mapping.</t>
  </si>
  <si>
    <t>O(L) where L is length of word</t>
  </si>
  <si>
    <t>O(AlphabetSize * L * N)</t>
  </si>
  <si>
    <t>Implement Trie, Word Search II</t>
  </si>
  <si>
    <t>Word Search II, Replace Words</t>
  </si>
  <si>
    <t>Generate all combinations, permutations, subsets, N-queens.</t>
  </si>
  <si>
    <t>Constraint satisfaction, systematic search of combinations.</t>
  </si>
  <si>
    <t>Single optimal path optimization where greedy/DP works.</t>
  </si>
  <si>
    <t>Forgetting to undo modifications (backtrack state) after recursive call.</t>
  </si>
  <si>
    <t>O(2^N) or O(N!)</t>
  </si>
  <si>
    <t>O(N) recursion stack</t>
  </si>
  <si>
    <t>Subsets, Permutations</t>
  </si>
  <si>
    <t>N-Queens, Sudoku Solver</t>
  </si>
  <si>
    <t>Divide and conquer, merge sort, helper functions, recurrence relation.</t>
  </si>
  <si>
    <t>Solving problem by breaking into smaller identical sub-problems.</t>
  </si>
  <si>
    <t>Deep call stacks where iterative solutions are O(1) space.</t>
  </si>
  <si>
    <t>Infinite recursion (missing/incorrect base case), duplicate computations.</t>
  </si>
  <si>
    <t>Varies by recurrence</t>
  </si>
  <si>
    <t>O(Depth of stack)</t>
  </si>
  <si>
    <t>Fibonacci Number, Pow(x, n)</t>
  </si>
  <si>
    <t>Merge Sort, Quick Sort</t>
  </si>
  <si>
    <t>Bitwise XOR, AND, OR, shifting, power of two, count set bits.</t>
  </si>
  <si>
    <t>O(1) constant time checks, space-efficient flags, unique number search.</t>
  </si>
  <si>
    <t>Complex non-integer operations.</t>
  </si>
  <si>
    <t>Operator precedence errors (always use parentheses around bitwise ops).</t>
  </si>
  <si>
    <t>Single Number, Number of 1 Bits</t>
  </si>
  <si>
    <t>Power of Two, Sum of Two Integers</t>
  </si>
  <si>
    <t>Overlapping subproblems, optimal substructure, count ways, min/max cost.</t>
  </si>
  <si>
    <t>Re-using subproblem solutions, transition equation mapping.</t>
  </si>
  <si>
    <t>No overlapping subproblems (e.g. simple merge sort).</t>
  </si>
  <si>
    <t>Incorrect table initialization, wrong state transition sequence.</t>
  </si>
  <si>
    <t>O(States * Transitions)</t>
  </si>
  <si>
    <t>O(States)</t>
  </si>
  <si>
    <t>Climbing Stairs, House Robber</t>
  </si>
  <si>
    <t>Edit Distance, Longest Common Subsequence</t>
  </si>
  <si>
    <t>2D Grid, cell traversal, coordinate shifts, boundary walls.</t>
  </si>
  <si>
    <t>Grid traversal, cell state updates, row/column operations.</t>
  </si>
  <si>
    <t>Linear sequence calculations.</t>
  </si>
  <si>
    <t>Out of bounds cell index, incorrect row/column boundaries.</t>
  </si>
  <si>
    <t>O(M * N)</t>
  </si>
  <si>
    <t>O(1) or O(M * N)</t>
  </si>
  <si>
    <t>Set Matrix Zeroes, Spiral Matrix</t>
  </si>
  <si>
    <t>Search a 2D Matrix, Rotate Image</t>
  </si>
  <si>
    <t>Two Sum</t>
  </si>
  <si>
    <t>Accenture, Deloitte, Infosys DSE, JPMC</t>
  </si>
  <si>
    <t>Striver</t>
  </si>
  <si>
    <t>LeetCode</t>
  </si>
  <si>
    <t>GFG</t>
  </si>
  <si>
    <t>YouTube</t>
  </si>
  <si>
    <t>Best Time to Buy and Sell Stock</t>
  </si>
  <si>
    <t>Deloitte, EY, Oracle, JPMC</t>
  </si>
  <si>
    <t>Majority Element</t>
  </si>
  <si>
    <t>Accenture, Cognizant Next, EY</t>
  </si>
  <si>
    <t>Move Zeroes</t>
  </si>
  <si>
    <t>Infosys DSE, Capgemini</t>
  </si>
  <si>
    <t>Merge Sorted Array</t>
  </si>
  <si>
    <t>Oracle, JPMC, Virtusa</t>
  </si>
  <si>
    <t>Pascal's Triangle</t>
  </si>
  <si>
    <t>★★★☆☆</t>
  </si>
  <si>
    <t>Deloitte, Capgemini</t>
  </si>
  <si>
    <t>Sort Colors</t>
  </si>
  <si>
    <t>Accenture, Cognizant Next, Oracle, JPMC</t>
  </si>
  <si>
    <t>Maximum Subarray</t>
  </si>
  <si>
    <t>EY, LTIMindtree, Oracle, JPMC</t>
  </si>
  <si>
    <t>Maximum Product Subarray</t>
  </si>
  <si>
    <t>Oracle, JPMC</t>
  </si>
  <si>
    <t>Merge Intervals</t>
  </si>
  <si>
    <t>Deloitte, JPMC, Oracle, LTIMindtree</t>
  </si>
  <si>
    <t>Insert Interval</t>
  </si>
  <si>
    <t>JPMC, Capgemini</t>
  </si>
  <si>
    <t>Non-overlapping Intervals</t>
  </si>
  <si>
    <t>EY, Oracle</t>
  </si>
  <si>
    <t>Product of Array Except Self</t>
  </si>
  <si>
    <t>JPMC, Oracle, Virtusa</t>
  </si>
  <si>
    <t>Find All Duplicates in an Array</t>
  </si>
  <si>
    <t>Accenture, Cognizant Next</t>
  </si>
  <si>
    <t>Next Permutation</t>
  </si>
  <si>
    <t>JPMC, Oracle</t>
  </si>
  <si>
    <t>Rotate Image</t>
  </si>
  <si>
    <t>Infosys DSE, JPMC</t>
  </si>
  <si>
    <t>Spiral Matrix</t>
  </si>
  <si>
    <t>Accenture, Deloitte, LTIMindtree</t>
  </si>
  <si>
    <t>Container With Most Water</t>
  </si>
  <si>
    <t>Oracle, JPMC, Capgemini</t>
  </si>
  <si>
    <t>3Sum</t>
  </si>
  <si>
    <t>Oracle, JPMC, EY</t>
  </si>
  <si>
    <t>4Sum</t>
  </si>
  <si>
    <t>JPMC, Virtusa</t>
  </si>
  <si>
    <t>Set Matrix Zeroes</t>
  </si>
  <si>
    <t>Infosys DSE, Deloitte</t>
  </si>
  <si>
    <t>Rotate Array</t>
  </si>
  <si>
    <t>Capgemini, Cognizant Next</t>
  </si>
  <si>
    <t>Longest Consecutive Sequence</t>
  </si>
  <si>
    <t>JPMC, Oracle, LTIMindtree</t>
  </si>
  <si>
    <t>Subarray Sum Equals K</t>
  </si>
  <si>
    <t>EY, Accenture</t>
  </si>
  <si>
    <t>First Missing Positive</t>
  </si>
  <si>
    <t>Trapping Rain Water</t>
  </si>
  <si>
    <t>JPMC, Oracle, LTIMindtree, Virtusa</t>
  </si>
  <si>
    <t>Max Chunks To Make Sorted</t>
  </si>
  <si>
    <t>Find the Duplicate Number</t>
  </si>
  <si>
    <t>Repeat and Missing Number Array</t>
  </si>
  <si>
    <t>Count Inversions</t>
  </si>
  <si>
    <t>Deloitte, EY</t>
  </si>
  <si>
    <t>Reverse Pairs</t>
  </si>
  <si>
    <t>Max Consecutive Ones</t>
  </si>
  <si>
    <t>Accenture, Infosys DSE</t>
  </si>
  <si>
    <t>Leaders in an Array</t>
  </si>
  <si>
    <t>Deloitte, Capgemini, Cognizant Next</t>
  </si>
  <si>
    <t>Contains Duplicate</t>
  </si>
  <si>
    <t>Accenture, Deloitte, Capgemini</t>
  </si>
  <si>
    <t>Valid Anagram</t>
  </si>
  <si>
    <t>Cognizant Next, Infosys DSE, JPMC</t>
  </si>
  <si>
    <t>Intersection of Two Arrays</t>
  </si>
  <si>
    <t>EY, Virtusa</t>
  </si>
  <si>
    <t>Find All Anagrams in a String</t>
  </si>
  <si>
    <t>Group Anagrams</t>
  </si>
  <si>
    <t>Oracle, JPMC, Deloitte</t>
  </si>
  <si>
    <t>Top K Frequent Elements</t>
  </si>
  <si>
    <t>Longest Consecutive Sequence Hashing</t>
  </si>
  <si>
    <t>Subarray with Given XOR</t>
  </si>
  <si>
    <t>Isomorphic Strings</t>
  </si>
  <si>
    <t>Word Pattern</t>
  </si>
  <si>
    <t>First Unique Character in a String</t>
  </si>
  <si>
    <t>Infosys DSE, Virtusa</t>
  </si>
  <si>
    <t>Ransom Note</t>
  </si>
  <si>
    <t>Happy Number</t>
  </si>
  <si>
    <t>Capgemini, Infosys DSE</t>
  </si>
  <si>
    <t>Jewels and Stones</t>
  </si>
  <si>
    <t>Custom Sort String</t>
  </si>
  <si>
    <t>Pairs of Songs With Total Durations Divisible by 60</t>
  </si>
  <si>
    <t>Continuous Subarray Sum</t>
  </si>
  <si>
    <t>Find Players With Zero or One Losses</t>
  </si>
  <si>
    <t>Equal Row and Column Pairs</t>
  </si>
  <si>
    <t>Cognizant Next, Capgemini</t>
  </si>
  <si>
    <t>Reverse String</t>
  </si>
  <si>
    <t>Accenture, Deloitte, Capgemini, Infosys DSE</t>
  </si>
  <si>
    <t>Valid Palindrome String</t>
  </si>
  <si>
    <t>Cognizant Next, EY, JPMC</t>
  </si>
  <si>
    <t>Longest Common Prefix</t>
  </si>
  <si>
    <t>Infosys DSE, Deloitte, Oracle</t>
  </si>
  <si>
    <t>Roman to Integer</t>
  </si>
  <si>
    <t>Accenture, EY, JPMC, Oracle</t>
  </si>
  <si>
    <t>Integer to Roman</t>
  </si>
  <si>
    <t>Reverse Words in a String</t>
  </si>
  <si>
    <t>Oracle, JPMC, LTIMindtree</t>
  </si>
  <si>
    <t>String to Integer (atoi)</t>
  </si>
  <si>
    <t>Implement strStr()</t>
  </si>
  <si>
    <t>Longest Palindromic Substring</t>
  </si>
  <si>
    <t>Oracle, JPMC, LTIMindtree, Virtusa</t>
  </si>
  <si>
    <t>Palindromic Substrings</t>
  </si>
  <si>
    <t>Valid Parentheses String</t>
  </si>
  <si>
    <t>Accenture, Deloitte, Cognizant Next, JPMC</t>
  </si>
  <si>
    <t>Generate Parentheses</t>
  </si>
  <si>
    <t>Letter Combinations of a Phone Number</t>
  </si>
  <si>
    <t>Compare Version Numbers</t>
  </si>
  <si>
    <t>Basic Calculator II</t>
  </si>
  <si>
    <t>Longest Substring Without Repeating Characters String</t>
  </si>
  <si>
    <t>Multiply Strings</t>
  </si>
  <si>
    <t>Simplify Path</t>
  </si>
  <si>
    <t>Minimum Window Substring String</t>
  </si>
  <si>
    <t>Substrings with K Distinct Characters</t>
  </si>
  <si>
    <t>Accenture, Deloitte, Capgemini, Infosys DSE, JPMC</t>
  </si>
  <si>
    <t>Search In Insert Position</t>
  </si>
  <si>
    <t>Cognizant Next, EY</t>
  </si>
  <si>
    <t>Find First and Last Position of Element in Sorted Array</t>
  </si>
  <si>
    <t>Search in Rotated Sorted Array</t>
  </si>
  <si>
    <t>Search in Rotated Sorted Array II</t>
  </si>
  <si>
    <t>Find Minimum in Rotated Sorted Array</t>
  </si>
  <si>
    <t>Deloitte, Oracle, JPMC</t>
  </si>
  <si>
    <t>Single Element in a Sorted Array</t>
  </si>
  <si>
    <t>EY, JPMC, Oracle</t>
  </si>
  <si>
    <t>Find Peak Element</t>
  </si>
  <si>
    <t>Search a 2D Matrix</t>
  </si>
  <si>
    <t>Search a 2D Matrix II</t>
  </si>
  <si>
    <t>Find Square Root of a Number</t>
  </si>
  <si>
    <t>Find Nth Root of an Integer</t>
  </si>
  <si>
    <t>Accenture, Deloitte</t>
  </si>
  <si>
    <t>Koko Eating Bananas</t>
  </si>
  <si>
    <t>Minimum Days to Make M Bouquets</t>
  </si>
  <si>
    <t>Find the Smallest Divisor Given a Threshold</t>
  </si>
  <si>
    <t>Capacity to Ship Packages Within D Days</t>
  </si>
  <si>
    <t>JPMC, LTIMindtree</t>
  </si>
  <si>
    <t>Kth Missing Positive Number</t>
  </si>
  <si>
    <t>Capgemini, EY</t>
  </si>
  <si>
    <t>Aggressive Cows</t>
  </si>
  <si>
    <t>Book Allocation Problem</t>
  </si>
  <si>
    <t>Split Array Largest Sum</t>
  </si>
  <si>
    <t>Painter's Partition Problem</t>
  </si>
  <si>
    <t>Median of Row Wise Sorted Matrix</t>
  </si>
  <si>
    <t>Find Peak Element II</t>
  </si>
  <si>
    <t>Kth Element of Two Sorted Arrays</t>
  </si>
  <si>
    <t>Minimize Max Distance to Gas Station</t>
  </si>
  <si>
    <t>Maximum Sum Subarray of Size K</t>
  </si>
  <si>
    <t>Accenture, Deloitte, Infosys DSE, Capgemini</t>
  </si>
  <si>
    <t>Longest Substring Without Repeating Characters Sliding</t>
  </si>
  <si>
    <t>Oracle, JPMC, LTIMindtree, EY</t>
  </si>
  <si>
    <t>Longest Repeating Character Replacement</t>
  </si>
  <si>
    <t>Minimum Window Substring Sliding</t>
  </si>
  <si>
    <t>Sliding Window Maximum</t>
  </si>
  <si>
    <t>Permutation in String</t>
  </si>
  <si>
    <t>Find All Anagrams in a String Sliding</t>
  </si>
  <si>
    <t>Minimum Size Subarray Sum</t>
  </si>
  <si>
    <t>Infosys DSE, Oracle</t>
  </si>
  <si>
    <t>Fruit Into Baskets</t>
  </si>
  <si>
    <t>Max Consecutive Ones III</t>
  </si>
  <si>
    <t>Longest Substring with At Most K Distinct Characters</t>
  </si>
  <si>
    <t>Binary Subarrays With Sum</t>
  </si>
  <si>
    <t>Count Number of Nice Subarrays</t>
  </si>
  <si>
    <t>Number of Substrings Containing All Three Characters</t>
  </si>
  <si>
    <t>Cognizant Next, Virtusa</t>
  </si>
  <si>
    <t>Maximum Points You Can Obtain from Cards</t>
  </si>
  <si>
    <t>Longest Subarray of 1's After Deleting One Element</t>
  </si>
  <si>
    <t>Subarrays with K Different Integers Sliding</t>
  </si>
  <si>
    <t>Minimum Window Subsequence</t>
  </si>
  <si>
    <t>Valid Palindrome TP</t>
  </si>
  <si>
    <t>Two Sum II - Input Array Is Sorted</t>
  </si>
  <si>
    <t>Remove Duplicates from Sorted Array</t>
  </si>
  <si>
    <t>Infosys DSE, Oracle, JPMC</t>
  </si>
  <si>
    <t>3Sum TP</t>
  </si>
  <si>
    <t>Container With Most Water TP</t>
  </si>
  <si>
    <t>Trapping Rain Water TP</t>
  </si>
  <si>
    <t>JPMC, Oracle, LTIMindtree, EY</t>
  </si>
  <si>
    <t>3Sum Closest TP</t>
  </si>
  <si>
    <t>4Sum TP</t>
  </si>
  <si>
    <t>Sort Colors TP</t>
  </si>
  <si>
    <t>Accenture, Cognizant Next, Oracle</t>
  </si>
  <si>
    <t>Squares of a Sorted Array TP</t>
  </si>
  <si>
    <t>Is Subsequence</t>
  </si>
  <si>
    <t>Boats to Save People</t>
  </si>
  <si>
    <t>Compare Version Numbers TP</t>
  </si>
  <si>
    <t>Minimum Window Substring TP</t>
  </si>
  <si>
    <t>Valid Palindrome II</t>
  </si>
  <si>
    <t>Reverse Linked List</t>
  </si>
  <si>
    <t>Linked List Cycle</t>
  </si>
  <si>
    <t>Merge Two Sorted Lists</t>
  </si>
  <si>
    <t>Remove Nth Node From End of List</t>
  </si>
  <si>
    <t>Linked List Cycle II</t>
  </si>
  <si>
    <t>Reorder List</t>
  </si>
  <si>
    <t>Intersection of Two Linked Lists</t>
  </si>
  <si>
    <t>Deloitte, JPMC, Oracle</t>
  </si>
  <si>
    <t>Add Two Numbers</t>
  </si>
  <si>
    <t>Copy List with Random Pointer</t>
  </si>
  <si>
    <t>Palindrome Linked List</t>
  </si>
  <si>
    <t>Reverse Nodes in k-Group</t>
  </si>
  <si>
    <t>Flatten a Multilevel Doubly Linked List</t>
  </si>
  <si>
    <t>Merge k Sorted Lists LL</t>
  </si>
  <si>
    <t>Remove Duplicates from Sorted List</t>
  </si>
  <si>
    <t>Remove Duplicates from Sorted List II</t>
  </si>
  <si>
    <t>Rotate List</t>
  </si>
  <si>
    <t>Swap Nodes in Pairs</t>
  </si>
  <si>
    <t>Odd Even Linked List</t>
  </si>
  <si>
    <t>Partition List</t>
  </si>
  <si>
    <t>Delete Node in a Linked List</t>
  </si>
  <si>
    <t>Valid Parentheses</t>
  </si>
  <si>
    <t>Min Stack</t>
  </si>
  <si>
    <t>Implement Queue using Stacks</t>
  </si>
  <si>
    <t>Implement Stack using Queues</t>
  </si>
  <si>
    <t>Next Greater Element I</t>
  </si>
  <si>
    <t>Next Greater Element II</t>
  </si>
  <si>
    <t>Next Greater Element III</t>
  </si>
  <si>
    <t>Daily Temperatures</t>
  </si>
  <si>
    <t>Evaluate Reverse Polish Notation</t>
  </si>
  <si>
    <t>Largest Rectangle in Histogram</t>
  </si>
  <si>
    <t>Maximal Rectangle</t>
  </si>
  <si>
    <t>Online Stock Span</t>
  </si>
  <si>
    <t>Astroid Collision</t>
  </si>
  <si>
    <t>Trapping Rain Water Stack</t>
  </si>
  <si>
    <t>Sliding Window Maximum Stack</t>
  </si>
  <si>
    <t>Check for Balanced Parentheses</t>
  </si>
  <si>
    <t>Next Smaller Element</t>
  </si>
  <si>
    <t>LRU Cache</t>
  </si>
  <si>
    <t>LFU Cache</t>
  </si>
  <si>
    <t>Rotting Oranges</t>
  </si>
  <si>
    <t>JPMC, Oracle, EY</t>
  </si>
  <si>
    <t>Valid Parentheses Longest</t>
  </si>
  <si>
    <t>Circular Queue Implementation</t>
  </si>
  <si>
    <t>Implement Stack using Single Queue</t>
  </si>
  <si>
    <t>Implement Queue using Single Stack</t>
  </si>
  <si>
    <t>EY, Deloitte</t>
  </si>
  <si>
    <t>Sum of Subarray Minimums</t>
  </si>
  <si>
    <t>N meetings in one room</t>
  </si>
  <si>
    <t>Activity Selection</t>
  </si>
  <si>
    <t>Job Sequencing Problem</t>
  </si>
  <si>
    <t>Fractional Knapsack</t>
  </si>
  <si>
    <t>Minimum Coins</t>
  </si>
  <si>
    <t>Minimum Platforms</t>
  </si>
  <si>
    <t>Lemonade Change</t>
  </si>
  <si>
    <t>Assign Cookies</t>
  </si>
  <si>
    <t>Shortest Job First (SJF)</t>
  </si>
  <si>
    <t>Page Faults in LRU</t>
  </si>
  <si>
    <t>Jump Game</t>
  </si>
  <si>
    <t>Jump Game II</t>
  </si>
  <si>
    <t>Candy Distribution</t>
  </si>
  <si>
    <t>Insert Interval Greedy</t>
  </si>
  <si>
    <t>Merge Intervals Greedy</t>
  </si>
  <si>
    <t>Non-overlapping Intervals Greedy</t>
  </si>
  <si>
    <t>Find Minimum Number of Arrows to Burst Balloons</t>
  </si>
  <si>
    <t>Huffman Coding</t>
  </si>
  <si>
    <t>Valid Palindrome II Greedy</t>
  </si>
  <si>
    <t>Maximum Length of Pair Chain</t>
  </si>
  <si>
    <t>Binary Tree Inorder Traversal</t>
  </si>
  <si>
    <t>Binary Tree Preorder Traversal</t>
  </si>
  <si>
    <t>Binary Tree Postorder Traversal</t>
  </si>
  <si>
    <t>Binary Tree Level Order Traversal</t>
  </si>
  <si>
    <t>Maximum Depth of Binary Tree</t>
  </si>
  <si>
    <t>Diameter of Binary Tree</t>
  </si>
  <si>
    <t>Balanced Binary Tree</t>
  </si>
  <si>
    <t>Lowest Common Ancestor of a Binary Tree</t>
  </si>
  <si>
    <t>Same Tree</t>
  </si>
  <si>
    <t>Symmetric Tree</t>
  </si>
  <si>
    <t>Binary Tree Zigzag Level Order Traversal</t>
  </si>
  <si>
    <t>Boundary Traversal of Binary Tree</t>
  </si>
  <si>
    <t>Vertical Order Traversal of a Binary Tree</t>
  </si>
  <si>
    <t>Top View of Binary Tree</t>
  </si>
  <si>
    <t>Bottom View of Binary Tree</t>
  </si>
  <si>
    <t>Right View of Binary Tree</t>
  </si>
  <si>
    <t>Check for Children Sum Property</t>
  </si>
  <si>
    <t>Construct Binary Tree from Preorder and Inorder Traversal</t>
  </si>
  <si>
    <t>Construct Binary Tree from Postorder and Inorder Traversal</t>
  </si>
  <si>
    <t>Symmetric Binary Tree Check</t>
  </si>
  <si>
    <t>Binary Tree Maximum Path Sum</t>
  </si>
  <si>
    <t>Maximum Width of Binary Tree</t>
  </si>
  <si>
    <t>All Nodes Distance K in Binary Tree</t>
  </si>
  <si>
    <t>Flatten Binary Tree to Linked List</t>
  </si>
  <si>
    <t>Serialize and Deserialize Binary Tree</t>
  </si>
  <si>
    <t>Search in a Binary Search Tree</t>
  </si>
  <si>
    <t>Find Min/Max in BST</t>
  </si>
  <si>
    <t>Insert into a Binary Search Tree</t>
  </si>
  <si>
    <t>Delete Node in a BST</t>
  </si>
  <si>
    <t>Validate Binary Search Tree</t>
  </si>
  <si>
    <t>Lowest Common Ancestor of a Binary Search Tree</t>
  </si>
  <si>
    <t>Construct BST from Preorder Traversal</t>
  </si>
  <si>
    <t>Kth Smallest Element in a BST</t>
  </si>
  <si>
    <t>Two Sum IV - Input is a BST</t>
  </si>
  <si>
    <t>BST Iterator</t>
  </si>
  <si>
    <t>Inorder Successor in BST</t>
  </si>
  <si>
    <t>Recover Binary Search Tree</t>
  </si>
  <si>
    <t>Kth Largest Element in an Array</t>
  </si>
  <si>
    <t>K Closest Points to Origin</t>
  </si>
  <si>
    <t>Top K Frequent Elements Heap</t>
  </si>
  <si>
    <t>Merge k Sorted Lists</t>
  </si>
  <si>
    <t>Find Median from Data Stream</t>
  </si>
  <si>
    <t>Task Scheduler</t>
  </si>
  <si>
    <t>Sort Characters By Frequency</t>
  </si>
  <si>
    <t>Kth Smallest Element in a Sorted Matrix</t>
  </si>
  <si>
    <t>Construct Target Array With Multiple Sums</t>
  </si>
  <si>
    <t>★★☆☆☆</t>
  </si>
  <si>
    <t>Minimum Cost to Connect Sticks</t>
  </si>
  <si>
    <t>Furthest Building You Can Reach</t>
  </si>
  <si>
    <t>Smallest Range Covering Elements from K Lists</t>
  </si>
  <si>
    <t>Breadth First Search (BFS)</t>
  </si>
  <si>
    <t>Depth First Search (DFS)</t>
  </si>
  <si>
    <t>Cognizant Next, EY, JPMC, Oracle</t>
  </si>
  <si>
    <t>Number of Islands</t>
  </si>
  <si>
    <t>Infosys DSE, Oracle, JPMC, LTIMindtree</t>
  </si>
  <si>
    <t>Clone Graph</t>
  </si>
  <si>
    <t>Course Schedule</t>
  </si>
  <si>
    <t>Course Schedule II</t>
  </si>
  <si>
    <t>Pacific Atlantic Water Flow</t>
  </si>
  <si>
    <t>Redundant Connection</t>
  </si>
  <si>
    <t>Number of Connected Components in an Undirected Graph</t>
  </si>
  <si>
    <t>Deloitte, JPMC</t>
  </si>
  <si>
    <t>Graph Valid Tree</t>
  </si>
  <si>
    <t>Word Ladder</t>
  </si>
  <si>
    <t>Dijkstra's Algorithm</t>
  </si>
  <si>
    <t>Kruskal's Algorithm</t>
  </si>
  <si>
    <t>Prim's Algorithm</t>
  </si>
  <si>
    <t>Floyd Warshall Algorithm</t>
  </si>
  <si>
    <t>Bellman Ford Algorithm</t>
  </si>
  <si>
    <t>Snakes and Ladders</t>
  </si>
  <si>
    <t>Rotting Oranges Graphs</t>
  </si>
  <si>
    <t>Bipartite Graph Check</t>
  </si>
  <si>
    <t>Cheapest Flights Within K Stops</t>
  </si>
  <si>
    <t>Climbing Stairs</t>
  </si>
  <si>
    <t>House Robber</t>
  </si>
  <si>
    <t>House Robber II</t>
  </si>
  <si>
    <t>Coin Change</t>
  </si>
  <si>
    <t>Longest Common Subsequence</t>
  </si>
  <si>
    <t>Longest Increasing Subsequence</t>
  </si>
  <si>
    <t>Edit Distance</t>
  </si>
  <si>
    <t>Partition Equal Subset Sum</t>
  </si>
  <si>
    <t>0/1 Knapsack Problem</t>
  </si>
  <si>
    <t>Word Break</t>
  </si>
  <si>
    <t>Unique Paths</t>
  </si>
  <si>
    <t>Minimum Path Sum</t>
  </si>
  <si>
    <t>Decode Ways</t>
  </si>
  <si>
    <t>Min Cost Climbing Stairs</t>
  </si>
  <si>
    <t>Maximum Sum of Non-Adjacent Elements</t>
  </si>
  <si>
    <t>Subset Sum Problem</t>
  </si>
  <si>
    <t>Unbounded Knapsack</t>
  </si>
  <si>
    <t>Rod Cutting Problem</t>
  </si>
  <si>
    <t>Best Time to Buy and Sell Stock with Cooldown</t>
  </si>
  <si>
    <t>Matrix Chain Multiplication</t>
  </si>
  <si>
    <t>Number of 1 Bits</t>
  </si>
  <si>
    <t>Counting Bits</t>
  </si>
  <si>
    <t>Reverse Bits</t>
  </si>
  <si>
    <t>Single Number</t>
  </si>
  <si>
    <t>Single Number II</t>
  </si>
  <si>
    <t>Power of Two</t>
  </si>
  <si>
    <t>Subsets</t>
  </si>
  <si>
    <t>Bitwise AND of Numbers Range</t>
  </si>
  <si>
    <t>Minimum Flips to Make a OR b Equal to c</t>
  </si>
  <si>
    <t>Divide Two Integers</t>
  </si>
  <si>
    <t>Palindrome Number</t>
  </si>
  <si>
    <t>Fizz Buzz</t>
  </si>
  <si>
    <t>Power(x, n)</t>
  </si>
  <si>
    <t>Count Primes</t>
  </si>
  <si>
    <t>Happy Number Math</t>
  </si>
  <si>
    <t>Factorial Trailing Zeroes</t>
  </si>
  <si>
    <t>Grid Unique Paths Math</t>
  </si>
  <si>
    <t>Sieve of Eratosthenes</t>
  </si>
  <si>
    <t>GCD and LCM</t>
  </si>
  <si>
    <t>Prime Factorization</t>
  </si>
  <si>
    <t>Problem ID</t>
  </si>
  <si>
    <t>Problem Name</t>
  </si>
  <si>
    <t>Topic</t>
  </si>
  <si>
    <t>Pattern</t>
  </si>
  <si>
    <t>Difficulty</t>
  </si>
  <si>
    <t>Expected Time</t>
  </si>
  <si>
    <t>Company Frequency</t>
  </si>
  <si>
    <t>Company Tags</t>
  </si>
  <si>
    <t>Striver Link</t>
  </si>
  <si>
    <t>LeetCode Link</t>
  </si>
  <si>
    <t>GFG Link</t>
  </si>
  <si>
    <t>YouTube Link</t>
  </si>
  <si>
    <t>Attempt Date</t>
  </si>
  <si>
    <t>Time Taken</t>
  </si>
  <si>
    <t>Hint Used</t>
  </si>
  <si>
    <t>Confidence</t>
  </si>
  <si>
    <t>Revision Count</t>
  </si>
  <si>
    <t>Next Revision</t>
  </si>
  <si>
    <t>Revision Priority</t>
  </si>
  <si>
    <t>Notes</t>
  </si>
  <si>
    <t>Dynamic Placement Solve &amp; Revision Recommendations</t>
  </si>
  <si>
    <t>Dynamic recommendations engine mapping weaknesses, forgotten problems, and high ROI patterns</t>
  </si>
  <si>
    <t>Today's Top 10 High-ROI Solve Recommendations</t>
  </si>
  <si>
    <t>ID</t>
  </si>
  <si>
    <t>Top 5 Weak Coding Patterns</t>
  </si>
  <si>
    <t>Total</t>
  </si>
  <si>
    <t>Completion %</t>
  </si>
  <si>
    <t>Avg Confidence</t>
  </si>
  <si>
    <t>Mastery</t>
  </si>
  <si>
    <t>Weakness</t>
  </si>
  <si>
    <t>Top 5 Forgotten Problems (Overdue)</t>
  </si>
  <si>
    <t>Top 5 High ROI Unsolved Problems</t>
  </si>
  <si>
    <t>Top 5 Frequently Missed / Flagged Problems</t>
  </si>
  <si>
    <t>Top 5 Target Company Recommended Problems</t>
  </si>
  <si>
    <t>Interactive Database Search Engine &amp; Quick Filters</t>
  </si>
  <si>
    <t>Quick Filter Preset:</t>
  </si>
  <si>
    <t>All</t>
  </si>
  <si>
    <t>Search Problem Name:</t>
  </si>
  <si>
    <t>Filter Topic:</t>
  </si>
  <si>
    <t>Filter Pattern:</t>
  </si>
  <si>
    <t>Filter Company:</t>
  </si>
  <si>
    <t>Min ROI Score (1-10):</t>
  </si>
  <si>
    <t>Filter Difficulty:</t>
  </si>
  <si>
    <t>Filter Confidence:</t>
  </si>
  <si>
    <t>Revision Overdue?:</t>
  </si>
  <si>
    <t>Overdue Revisions</t>
  </si>
  <si>
    <t>Due Today</t>
  </si>
  <si>
    <t>Tomorrow</t>
  </si>
  <si>
    <t>Upcoming (Next 7 Days)</t>
  </si>
  <si>
    <t>Green Problems - Spilled Live Feed</t>
  </si>
  <si>
    <t>Yellow Problems - Spilled Live Feed</t>
  </si>
  <si>
    <t>Red Problems - Spilled Live Feed</t>
  </si>
  <si>
    <t>DSA Pattern Mastery Tracker &amp; Analytics</t>
  </si>
  <si>
    <t>Total Problems</t>
  </si>
  <si>
    <t>Average Confidence</t>
  </si>
  <si>
    <t>Average Time</t>
  </si>
  <si>
    <t>Hint Rate</t>
  </si>
  <si>
    <t>Mastery Score</t>
  </si>
  <si>
    <t>Company-Specific AI Placement Readiness Engine</t>
  </si>
  <si>
    <t>Target Company Selector:</t>
  </si>
  <si>
    <t>ESTIMATED READINESS</t>
  </si>
  <si>
    <t>PROJECTED READINESS</t>
  </si>
  <si>
    <t>Primary Strength Pattern:</t>
  </si>
  <si>
    <t>Primary Weakness Pattern:</t>
  </si>
  <si>
    <t>Recommended Prep Tasks to Reach Target:</t>
  </si>
  <si>
    <t>Company Name</t>
  </si>
  <si>
    <t>Total Tags</t>
  </si>
  <si>
    <t>Revision %</t>
  </si>
  <si>
    <t>High ROI Completion %</t>
  </si>
  <si>
    <t>Mock OA Average</t>
  </si>
  <si>
    <t>Readiness Score</t>
  </si>
  <si>
    <t>Strength</t>
  </si>
  <si>
    <t>Suggested Revision</t>
  </si>
  <si>
    <t>Online Assessment (OA) Simulation Log &amp; Performance</t>
  </si>
  <si>
    <t>AVERAGE SCORE</t>
  </si>
  <si>
    <t>BEST SCORE</t>
  </si>
  <si>
    <t>WORST SCORE</t>
  </si>
  <si>
    <t>AVERAGE TIME</t>
  </si>
  <si>
    <t>AVERAGE ACCURACY</t>
  </si>
  <si>
    <t>Mock ID</t>
  </si>
  <si>
    <t>Company</t>
  </si>
  <si>
    <t>Questions</t>
  </si>
  <si>
    <t>Score</t>
  </si>
  <si>
    <t>Time (Mins)</t>
  </si>
  <si>
    <t>Accuracy</t>
  </si>
  <si>
    <t>Weak Pattern</t>
  </si>
  <si>
    <t>Running Average</t>
  </si>
  <si>
    <t>Mistakes</t>
  </si>
  <si>
    <t>Improvement Action</t>
  </si>
  <si>
    <t>Placement Revision Mistake Log &amp; Root Cause Analysis</t>
  </si>
  <si>
    <t>Mistake ID</t>
  </si>
  <si>
    <t>Mistake Type</t>
  </si>
  <si>
    <t>Root Cause</t>
  </si>
  <si>
    <t>Solution</t>
  </si>
  <si>
    <t>Reviewed</t>
  </si>
  <si>
    <t>Review Date</t>
  </si>
  <si>
    <t>Computer Science Core Fundamentals Tracker</t>
  </si>
  <si>
    <t>Topic Name</t>
  </si>
  <si>
    <t>Suggested Resource Link</t>
  </si>
  <si>
    <t>Revision Status</t>
  </si>
  <si>
    <t>Last Revised</t>
  </si>
  <si>
    <t>https://takeuforward.org/dbms/complete-dbms-notes/</t>
  </si>
  <si>
    <t>Not Started</t>
  </si>
  <si>
    <t>Placement Interview Journal &amp; Feedback Log</t>
  </si>
  <si>
    <t>Journal ID</t>
  </si>
  <si>
    <t>Round</t>
  </si>
  <si>
    <t>Questions Asked</t>
  </si>
  <si>
    <t>Mistakes Made</t>
  </si>
  <si>
    <t>Feedback Received</t>
  </si>
  <si>
    <t>Key Learnings</t>
  </si>
  <si>
    <t>Revision Required</t>
  </si>
  <si>
    <t>Analytics Core Tables</t>
  </si>
  <si>
    <t>Topic Progress Summary</t>
  </si>
  <si>
    <t>Topic Failure Weight</t>
  </si>
  <si>
    <t>Status Distribution</t>
  </si>
  <si>
    <t>Count</t>
  </si>
  <si>
    <t>Unsolved</t>
  </si>
  <si>
    <t>Difficulty Solved Distribution</t>
  </si>
  <si>
    <t>Ultimate DSA Placement Dashboard</t>
  </si>
  <si>
    <t>Simplicity, readability, and actionable placement insights</t>
  </si>
  <si>
    <t>PROBLEMS SOLVED TODAY</t>
  </si>
  <si>
    <t>REMAINING PROBLEMS</t>
  </si>
  <si>
    <t>OVERALL SOLVED</t>
  </si>
  <si>
    <t>PLACEMENT READINESS</t>
  </si>
  <si>
    <t>Today's Accomplishments by Status</t>
  </si>
  <si>
    <t>GREEN PROBLEMS TODAY</t>
  </si>
  <si>
    <t>YELLOW PROBLEMS TODAY</t>
  </si>
  <si>
    <t>RED PROBLEMS TODAY</t>
  </si>
  <si>
    <t>Today's Revision Summary Workload</t>
  </si>
  <si>
    <t>GREEN REVISION DUE</t>
  </si>
  <si>
    <t>YELLOW REVISION DUE</t>
  </si>
  <si>
    <t>RED REVISION DUE</t>
  </si>
  <si>
    <t>Study Streaks &amp; Periodic Progress</t>
  </si>
  <si>
    <t>SOLVED THIS WEEK</t>
  </si>
  <si>
    <t>SOLVED THIS MONTH</t>
  </si>
  <si>
    <t>CURRENT STREAK</t>
  </si>
  <si>
    <t>LONGEST STREAK</t>
  </si>
  <si>
    <t>Quick Navigation Hub</t>
  </si>
  <si>
    <t>Personal Revision Notes &amp; Cheatsheets</t>
  </si>
  <si>
    <t>Write mistakes made, key optimization techniques (like bitwise operations or DP state reductions), and quick reference points here.</t>
  </si>
  <si>
    <t>No.</t>
  </si>
  <si>
    <t>Notes and Observations</t>
  </si>
  <si>
    <t xml:space="preserve">Note 1: </t>
  </si>
  <si>
    <t xml:space="preserve">Note 2: </t>
  </si>
  <si>
    <t xml:space="preserve">Note 3: </t>
  </si>
  <si>
    <t xml:space="preserve">Note 4: </t>
  </si>
  <si>
    <t xml:space="preserve">Note 5: </t>
  </si>
  <si>
    <t xml:space="preserve">Note 6: </t>
  </si>
  <si>
    <t xml:space="preserve">Note 7: </t>
  </si>
  <si>
    <t xml:space="preserve">Note 8: </t>
  </si>
  <si>
    <t xml:space="preserve">Note 9: </t>
  </si>
  <si>
    <t xml:space="preserve">Note 10: </t>
  </si>
  <si>
    <t xml:space="preserve">Note 11: </t>
  </si>
  <si>
    <t xml:space="preserve">Note 12: </t>
  </si>
  <si>
    <t xml:space="preserve">Note 13: </t>
  </si>
  <si>
    <t xml:space="preserve">Note 14: </t>
  </si>
  <si>
    <t>Workbook Version History &amp; Changelog</t>
  </si>
  <si>
    <t>Version</t>
  </si>
  <si>
    <t>Release Date</t>
  </si>
  <si>
    <t>Modified By</t>
  </si>
  <si>
    <t>Key Updates / Implemented Features</t>
  </si>
  <si>
    <t>v1.0</t>
  </si>
  <si>
    <t>2026-06-28</t>
  </si>
  <si>
    <t>Antigravity AI</t>
  </si>
  <si>
    <t>Initial release. 307 problems curated, full spaced-repetition revision engine, pattern trackers, mock OA trackers, company readiness score sheets, and automated charts.</t>
  </si>
  <si>
    <t>v2.0</t>
  </si>
  <si>
    <t>Version 2.0 release. Added Expected Time, dynamic Strength/Weakness and Suggested Revision listing on Company Readiness, Mock OA KPIs, weakness detector card, smart MOD mixing revision algorithm, and progress Data Bars.</t>
  </si>
  <si>
    <t>v3.0</t>
  </si>
  <si>
    <t>Version 3.0 SaaS Edition. Added Mistake Database, 26 Coding Pattern Encyclopedia, Search Engine with Quick Filter presets, Smart Recommendations sheet with 6 custom recommendation tables, interactive Company AI profiler, and Mock OA KPIs expansion.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</si>
</sst>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0.0%"/>
    <numFmt numFmtId="166" formatCode="0&quot; Days&quot;"/>
  </numFmts>
  <fonts count="14">
    <font>
      <sz val="11"/>
      <color theme="1"/>
      <name val="Calibri"/>
      <family val="2"/>
      <scheme val="minor"/>
    </font>
    <font>
      <b/>
      <sz val="18"/>
      <color rgb="FF1B365D"/>
      <name val="Segoe UI"/>
      <family val="2"/>
    </font>
    <font>
      <i/>
      <sz val="11"/>
      <color rgb="FF595959"/>
      <name val="Segoe UI"/>
      <family val="2"/>
    </font>
    <font>
      <b/>
      <sz val="13"/>
      <color rgb="FF1B365D"/>
      <name val="Segoe UI"/>
      <family val="2"/>
    </font>
    <font>
      <sz val="10"/>
      <color theme="1"/>
      <name val="Segoe UI"/>
      <family val="2"/>
    </font>
    <font>
      <b/>
      <sz val="10"/>
      <color rgb="FFFFFFFF"/>
      <name val="Segoe UI"/>
      <family val="2"/>
    </font>
    <font>
      <b/>
      <sz val="10"/>
      <color rgb="FF375623"/>
      <name val="Segoe UI"/>
      <family val="2"/>
    </font>
    <font>
      <b/>
      <sz val="10"/>
      <color rgb="FF7F6000"/>
      <name val="Segoe UI"/>
      <family val="2"/>
    </font>
    <font>
      <b/>
      <sz val="10"/>
      <color rgb="FFC65911"/>
      <name val="Segoe UI"/>
      <family val="2"/>
    </font>
    <font>
      <u/>
      <sz val="10"/>
      <color rgb="FF0066CC"/>
      <name val="Segoe UI"/>
      <family val="2"/>
    </font>
    <font>
      <b/>
      <sz val="9"/>
      <color rgb="FF595959"/>
      <name val="Segoe UI"/>
      <family val="2"/>
    </font>
    <font>
      <b/>
      <sz val="20"/>
      <color rgb="FF1B365D"/>
      <name val="Segoe UI"/>
      <family val="2"/>
    </font>
    <font>
      <b/>
      <sz val="9"/>
      <color rgb="FF1B365D"/>
      <name val="Segoe UI"/>
      <family val="2"/>
    </font>
    <font>
      <b/>
      <sz val="9"/>
      <color rgb="FFFFFFFF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1B365D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2F5F9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rgb="FF1B365D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rgb="FF1B365D"/>
      </left>
      <right style="medium">
        <color rgb="FF1B365D"/>
      </right>
      <top style="medium">
        <color rgb="FF1B365D"/>
      </top>
      <bottom style="medium">
        <color rgb="FF1B365D"/>
      </bottom>
      <diagonal/>
    </border>
    <border>
      <left style="thin">
        <color rgb="FFD9D9D9"/>
      </left>
      <right style="thin">
        <color rgb="FFD9D9D9"/>
      </right>
      <top style="medium">
        <color rgb="FF1B365D"/>
      </top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4" fillId="0" borderId="2" xfId="0" applyFont="1" applyBorder="1" applyAlignment="1">
      <alignment horizontal="left"/>
    </xf>
    <xf numFmtId="0" fontId="5" fillId="2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8" fillId="5" borderId="2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0" fillId="6" borderId="0" xfId="0" applyFont="1" applyFill="1" applyAlignment="1">
      <alignment horizontal="center" vertical="center"/>
    </xf>
    <xf numFmtId="0" fontId="4" fillId="6" borderId="3" xfId="0" applyFont="1" applyFill="1" applyBorder="1" applyAlignment="1">
      <alignment horizontal="center"/>
    </xf>
    <xf numFmtId="165" fontId="4" fillId="0" borderId="2" xfId="0" applyNumberFormat="1" applyFont="1" applyBorder="1" applyAlignment="1">
      <alignment horizontal="center"/>
    </xf>
    <xf numFmtId="0" fontId="10" fillId="6" borderId="4" xfId="0" applyFont="1" applyFill="1" applyBorder="1" applyAlignment="1">
      <alignment horizontal="center" vertical="center"/>
    </xf>
    <xf numFmtId="165" fontId="11" fillId="6" borderId="5" xfId="0" applyNumberFormat="1" applyFont="1" applyFill="1" applyBorder="1" applyAlignment="1">
      <alignment horizontal="center" vertical="center"/>
    </xf>
    <xf numFmtId="0" fontId="11" fillId="6" borderId="5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166" fontId="11" fillId="6" borderId="5" xfId="0" applyNumberFormat="1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6">
    <dxf>
      <font>
        <b/>
        <color rgb="FF375623"/>
      </font>
      <fill>
        <patternFill>
          <bgColor rgb="FFE2EFDA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/>
        <color rgb="FF7F6000"/>
      </font>
      <fill>
        <patternFill>
          <bgColor rgb="FFFFF2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/>
        <color rgb="FFC65911"/>
      </font>
      <fill>
        <patternFill>
          <bgColor rgb="FFFCE4D6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/>
        <color rgb="FF1B365D"/>
      </font>
      <fill>
        <patternFill>
          <bgColor rgb="FFD9E1F2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/>
        <color rgb="FFC00000"/>
      </font>
      <fill>
        <patternFill>
          <bgColor rgb="FFF8CBAD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/>
        <color rgb="FF5911C6"/>
      </font>
      <fill>
        <patternFill>
          <bgColor rgb="FFE8D9F2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Relationship Id="rId24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latin typeface="Segoe UI"/>
              </a:defRPr>
            </a:pPr>
            <a:r>
              <a:rPr lang="en-US" sz="1100" b="1" baseline="0">
                <a:latin typeface="Segoe UI"/>
              </a:rPr>
              <a:t>Pattern Completion (%)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Pattern Completion</c:v>
          </c:tx>
          <c:spPr>
            <a:solidFill>
              <a:srgbClr val="1B365D"/>
            </a:solidFill>
          </c:spPr>
          <c:cat>
            <c:strRef>
              <c:f>'Pattern Tracker'!$A$4:$A$29</c:f>
              <c:strCache>
                <c:ptCount val="26"/>
                <c:pt idx="0">
                  <c:v>Arrays</c:v>
                </c:pt>
                <c:pt idx="1">
                  <c:v>BFS</c:v>
                </c:pt>
                <c:pt idx="2">
                  <c:v>BST</c:v>
                </c:pt>
                <c:pt idx="3">
                  <c:v>Backtracking</c:v>
                </c:pt>
                <c:pt idx="4">
                  <c:v>Binary Search</c:v>
                </c:pt>
                <c:pt idx="5">
                  <c:v>Binary Search on Answer</c:v>
                </c:pt>
                <c:pt idx="6">
                  <c:v>Bit Manipulation</c:v>
                </c:pt>
                <c:pt idx="7">
                  <c:v>DFS</c:v>
                </c:pt>
                <c:pt idx="8">
                  <c:v>Dynamic Programming</c:v>
                </c:pt>
                <c:pt idx="9">
                  <c:v>Greedy</c:v>
                </c:pt>
                <c:pt idx="10">
                  <c:v>HashMap</c:v>
                </c:pt>
                <c:pt idx="11">
                  <c:v>Heap</c:v>
                </c:pt>
                <c:pt idx="12">
                  <c:v>Intervals</c:v>
                </c:pt>
                <c:pt idx="13">
                  <c:v>Kadane</c:v>
                </c:pt>
                <c:pt idx="14">
                  <c:v>Linked List</c:v>
                </c:pt>
                <c:pt idx="15">
                  <c:v>Matrix</c:v>
                </c:pt>
                <c:pt idx="16">
                  <c:v>Monotonic Stack</c:v>
                </c:pt>
                <c:pt idx="17">
                  <c:v>Prefix Sum</c:v>
                </c:pt>
                <c:pt idx="18">
                  <c:v>Queue</c:v>
                </c:pt>
                <c:pt idx="19">
                  <c:v>Recursion</c:v>
                </c:pt>
                <c:pt idx="20">
                  <c:v>Sliding Window</c:v>
                </c:pt>
                <c:pt idx="21">
                  <c:v>Topological Sort</c:v>
                </c:pt>
                <c:pt idx="22">
                  <c:v>Trees</c:v>
                </c:pt>
                <c:pt idx="23">
                  <c:v>Trie</c:v>
                </c:pt>
                <c:pt idx="24">
                  <c:v>Two Pointer</c:v>
                </c:pt>
                <c:pt idx="25">
                  <c:v>Union Find</c:v>
                </c:pt>
              </c:strCache>
            </c:strRef>
          </c:cat>
          <c:val>
            <c:numRef>
              <c:f>'Pattern Tracker'!$D$4:$D$29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txPr>
          <a:bodyPr/>
          <a:lstStyle/>
          <a:p>
            <a:pPr>
              <a:defRPr sz="700" baseline="0">
                <a:latin typeface="Segoe UI"/>
              </a:defRPr>
            </a:pPr>
            <a:endParaRPr lang="en-US"/>
          </a:p>
        </c:txPr>
        <c:crossAx val="50010002"/>
        <c:crosses val="autoZero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%" sourceLinked="0"/>
        <c:tickLblPos val="nextTo"/>
        <c:txPr>
          <a:bodyPr/>
          <a:lstStyle/>
          <a:p>
            <a:pPr>
              <a:defRPr sz="800" baseline="0">
                <a:latin typeface="Segoe UI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latin typeface="Segoe UI"/>
              </a:defRPr>
            </a:pPr>
            <a:r>
              <a:rPr lang="en-US" sz="1100" b="1" baseline="0">
                <a:latin typeface="Segoe UI"/>
              </a:rPr>
              <a:t>OA Mock Score Trend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OA Test Score</c:v>
          </c:tx>
          <c:spPr>
            <a:ln w="28575">
              <a:solidFill>
                <a:srgbClr val="1B365D"/>
              </a:solidFill>
            </a:ln>
          </c:spPr>
          <c:marker>
            <c:symbol val="circle"/>
            <c:size val="6"/>
            <c:spPr>
              <a:solidFill>
                <a:srgbClr val="8EA9DB"/>
              </a:solidFill>
            </c:spPr>
          </c:marker>
          <c:cat>
            <c:numRef>
              <c:f>'Mock OA Tracker'!$C$7:$C$11</c:f>
              <c:numCache>
                <c:formatCode>General</c:formatCode>
                <c:ptCount val="5"/>
              </c:numCache>
            </c:numRef>
          </c:cat>
          <c:val>
            <c:numRef>
              <c:f>'Mock OA Tracker'!$E$7:$E$11</c:f>
              <c:numCache>
                <c:formatCode>General</c:formatCode>
                <c:ptCount val="5"/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0%" sourceLinked="0"/>
        <c:tickLblPos val="nextTo"/>
        <c:txPr>
          <a:bodyPr/>
          <a:lstStyle/>
          <a:p>
            <a:pPr>
              <a:defRPr sz="800" baseline="0">
                <a:latin typeface="Segoe UI"/>
              </a:defRPr>
            </a:pPr>
            <a:endParaRPr lang="en-US"/>
          </a:p>
        </c:txPr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32</xdr:row>
      <xdr:rowOff>0</xdr:rowOff>
    </xdr:from>
    <xdr:to>
      <xdr:col>4</xdr:col>
      <xdr:colOff>1200150</xdr:colOff>
      <xdr:row>44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0</xdr:rowOff>
    </xdr:from>
    <xdr:to>
      <xdr:col>3</xdr:col>
      <xdr:colOff>1076325</xdr:colOff>
      <xdr:row>24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Streak" displayName="tblStreak" ref="H1:I31" totalsRowShown="0">
  <autoFilter ref="H1:I31"/>
  <tableColumns count="2">
    <tableColumn id="1" name="Date"/>
    <tableColumn id="2" name="Solved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blPatternEncyclopedia" displayName="tblPatternEncyclopedia" ref="A3:L29" totalsRowShown="0">
  <autoFilter ref="A3:L29"/>
  <tableColumns count="12">
    <tableColumn id="1" name="Pattern Name"/>
    <tableColumn id="2" name="Recognition Clues"/>
    <tableColumn id="3" name="When to Use"/>
    <tableColumn id="4" name="When NOT to Use"/>
    <tableColumn id="5" name="Common Mistakes"/>
    <tableColumn id="6" name="Time Complexity"/>
    <tableColumn id="7" name="Space Complexity"/>
    <tableColumn id="8" name="Representative Problems"/>
    <tableColumn id="9" name="Top Interview Questions"/>
    <tableColumn id="10" name="ROI"/>
    <tableColumn id="11" name="Campus Frequency"/>
    <tableColumn id="12" name="Expected Difficult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blMasterDatabase" displayName="tblMasterDatabase" ref="A1:AA308" totalsRowShown="0">
  <autoFilter ref="A1:AA308"/>
  <tableColumns count="27">
    <tableColumn id="1" name="Problem ID"/>
    <tableColumn id="2" name="Problem Name"/>
    <tableColumn id="3" name="Topic"/>
    <tableColumn id="4" name="Pattern"/>
    <tableColumn id="5" name="Difficulty"/>
    <tableColumn id="6" name="Expected Time"/>
    <tableColumn id="7" name="ROI"/>
    <tableColumn id="8" name="Campus Frequency"/>
    <tableColumn id="9" name="Company Frequency"/>
    <tableColumn id="10" name="Recognition Clues"/>
    <tableColumn id="11" name="Common Mistakes"/>
    <tableColumn id="12" name="Time Complexity"/>
    <tableColumn id="13" name="Space Complexity"/>
    <tableColumn id="14" name="Company Tags"/>
    <tableColumn id="15" name="Striver Link"/>
    <tableColumn id="16" name="LeetCode Link"/>
    <tableColumn id="17" name="GFG Link"/>
    <tableColumn id="18" name="YouTube Link"/>
    <tableColumn id="19" name="Attempt Date"/>
    <tableColumn id="20" name="Time Taken"/>
    <tableColumn id="21" name="Hint Used"/>
    <tableColumn id="22" name="Confidence"/>
    <tableColumn id="23" name="Status"/>
    <tableColumn id="24" name="Revision Count"/>
    <tableColumn id="25" name="Next Revision"/>
    <tableColumn id="26" name="Revision Priority"/>
    <tableColumn id="27" name="Note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blPatternTracker" displayName="tblPatternTracker" ref="A3:J29" totalsRowShown="0">
  <autoFilter ref="A3:J29"/>
  <tableColumns count="10">
    <tableColumn id="1" name="Pattern Name"/>
    <tableColumn id="2" name="Total Problems"/>
    <tableColumn id="3" name="Solved"/>
    <tableColumn id="4" name="Completion %"/>
    <tableColumn id="5" name="Average Confidence"/>
    <tableColumn id="6" name="Average Time"/>
    <tableColumn id="7" name="Hint Rate"/>
    <tableColumn id="8" name="Revision Count"/>
    <tableColumn id="9" name="Mastery Score"/>
    <tableColumn id="10" name="Weaknes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blCompanyReadiness" displayName="tblCompanyReadiness" ref="G3:S13" totalsRowShown="0">
  <autoFilter ref="G3:S13"/>
  <tableColumns count="13">
    <tableColumn id="1" name="Company Name"/>
    <tableColumn id="2" name="Total Tags"/>
    <tableColumn id="3" name="Solved"/>
    <tableColumn id="4" name="Completion %"/>
    <tableColumn id="5" name="Revision %"/>
    <tableColumn id="6" name="Average Confidence"/>
    <tableColumn id="7" name="High ROI Completion %"/>
    <tableColumn id="8" name="Mock OA Average"/>
    <tableColumn id="9" name="Readiness Score"/>
    <tableColumn id="10" name="Status"/>
    <tableColumn id="11" name="Strength"/>
    <tableColumn id="12" name="Weakness"/>
    <tableColumn id="13" name="Suggested Revision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blMockOA" displayName="tblMockOA" ref="A6:K11" totalsRowShown="0">
  <autoFilter ref="A6:K11"/>
  <tableColumns count="11">
    <tableColumn id="1" name="Mock ID"/>
    <tableColumn id="2" name="Company"/>
    <tableColumn id="3" name="Date"/>
    <tableColumn id="4" name="Questions"/>
    <tableColumn id="5" name="Score"/>
    <tableColumn id="6" name="Time (Mins)"/>
    <tableColumn id="7" name="Accuracy"/>
    <tableColumn id="8" name="Weak Pattern"/>
    <tableColumn id="9" name="Running Average"/>
    <tableColumn id="10" name="Mistakes"/>
    <tableColumn id="11" name="Improvement Action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blMistakeDatabase" displayName="tblMistakeDatabase" ref="A3:I13" totalsRowShown="0">
  <autoFilter ref="A3:I13"/>
  <tableColumns count="9">
    <tableColumn id="1" name="Mistake ID"/>
    <tableColumn id="2" name="Problem Name"/>
    <tableColumn id="3" name="Mistake Type"/>
    <tableColumn id="4" name="Root Cause"/>
    <tableColumn id="5" name="Solution"/>
    <tableColumn id="6" name="Reviewed"/>
    <tableColumn id="7" name="Review Date"/>
    <tableColumn id="8" name="Pattern"/>
    <tableColumn id="9" name="Difficulty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blCSFundamentals" displayName="tblCSFundamentals" ref="A3:F8" totalsRowShown="0">
  <autoFilter ref="A3:F8"/>
  <tableColumns count="6">
    <tableColumn id="1" name="Topic Name"/>
    <tableColumn id="2" name="Suggested Resource Link"/>
    <tableColumn id="3" name="Revision Status"/>
    <tableColumn id="4" name="Last Revised"/>
    <tableColumn id="5" name="Next Revision"/>
    <tableColumn id="6" name="Confidence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blInterviewJournal" displayName="tblInterviewJournal" ref="A3:J8" totalsRowShown="0">
  <autoFilter ref="A3:J8"/>
  <tableColumns count="10">
    <tableColumn id="1" name="Journal ID"/>
    <tableColumn id="2" name="Company"/>
    <tableColumn id="3" name="Date"/>
    <tableColumn id="4" name="Round"/>
    <tableColumn id="5" name="Questions Asked"/>
    <tableColumn id="6" name="Difficulty"/>
    <tableColumn id="7" name="Mistakes Made"/>
    <tableColumn id="8" name="Feedback Received"/>
    <tableColumn id="9" name="Key Learnings"/>
    <tableColumn id="10" name="Revision Require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takeuforward.org/data-structure/two-sum-check-if-a-pair-with-given-sum-exists-in-array/" TargetMode="External"/><Relationship Id="rId2" Type="http://schemas.openxmlformats.org/officeDocument/2006/relationships/hyperlink" Target="https://leetcode.com/problems/two-sum/" TargetMode="External"/><Relationship Id="rId3" Type="http://schemas.openxmlformats.org/officeDocument/2006/relationships/hyperlink" Target="https://www.geeksforgeeks.org/problems/two-sum-closest/1" TargetMode="External"/><Relationship Id="rId4" Type="http://schemas.openxmlformats.org/officeDocument/2006/relationships/hyperlink" Target="https://www.youtube.com/watch?v=UXDSeD9mN-k" TargetMode="External"/><Relationship Id="rId5" Type="http://schemas.openxmlformats.org/officeDocument/2006/relationships/hyperlink" Target="https://takeuforward.org/data-structure/stock-buy-and-sell/" TargetMode="External"/><Relationship Id="rId6" Type="http://schemas.openxmlformats.org/officeDocument/2006/relationships/hyperlink" Target="https://leetcode.com/problems/best-time-to-buy-and-sell-stock/" TargetMode="External"/><Relationship Id="rId7" Type="http://schemas.openxmlformats.org/officeDocument/2006/relationships/hyperlink" Target="https://www.geeksforgeeks.org/problems/stock-buy-and-sell2615/1" TargetMode="External"/><Relationship Id="rId8" Type="http://schemas.openxmlformats.org/officeDocument/2006/relationships/hyperlink" Target="https://www.youtube.com/watch?v=excAOvwF_hM" TargetMode="External"/><Relationship Id="rId9" Type="http://schemas.openxmlformats.org/officeDocument/2006/relationships/hyperlink" Target="https://takeuforward.org/data-structure/find-the-majority-element-that-occurs-more-than-n-2-times/" TargetMode="External"/><Relationship Id="rId10" Type="http://schemas.openxmlformats.org/officeDocument/2006/relationships/hyperlink" Target="https://leetcode.com/problems/majority-element/" TargetMode="External"/><Relationship Id="rId11" Type="http://schemas.openxmlformats.org/officeDocument/2006/relationships/hyperlink" Target="https://www.geeksforgeeks.org/problems/majority-element-1587115620/1" TargetMode="External"/><Relationship Id="rId12" Type="http://schemas.openxmlformats.org/officeDocument/2006/relationships/hyperlink" Target="https://www.youtube.com/watch?v=nP_ns3uSh80" TargetMode="External"/><Relationship Id="rId13" Type="http://schemas.openxmlformats.org/officeDocument/2006/relationships/hyperlink" Target="https://takeuforward.org/data-structure/move-all-zeros-to-the-end-of-an-array/" TargetMode="External"/><Relationship Id="rId14" Type="http://schemas.openxmlformats.org/officeDocument/2006/relationships/hyperlink" Target="https://leetcode.com/problems/move-zeroes/" TargetMode="External"/><Relationship Id="rId15" Type="http://schemas.openxmlformats.org/officeDocument/2006/relationships/hyperlink" Target="https://www.geeksforgeeks.org/problems/move-all-zeroes-to-end-of-array0751/1" TargetMode="External"/><Relationship Id="rId16" Type="http://schemas.openxmlformats.org/officeDocument/2006/relationships/hyperlink" Target="https://www.youtube.com/watch?v=wvcQg43uxXM" TargetMode="External"/><Relationship Id="rId17" Type="http://schemas.openxmlformats.org/officeDocument/2006/relationships/hyperlink" Target="https://takeuforward.org/data-structure/merge-two-sorted-arrays-without-extra-space/" TargetMode="External"/><Relationship Id="rId18" Type="http://schemas.openxmlformats.org/officeDocument/2006/relationships/hyperlink" Target="https://leetcode.com/problems/merge-sorted-array/" TargetMode="External"/><Relationship Id="rId19" Type="http://schemas.openxmlformats.org/officeDocument/2006/relationships/hyperlink" Target="https://www.geeksforgeeks.org/problems/merge-two-sorted-arrays-1587115620/1" TargetMode="External"/><Relationship Id="rId20" Type="http://schemas.openxmlformats.org/officeDocument/2006/relationships/hyperlink" Target="https://www.youtube.com/watch?v=hVl2b3bLzBw" TargetMode="External"/><Relationship Id="rId21" Type="http://schemas.openxmlformats.org/officeDocument/2006/relationships/hyperlink" Target="https://takeuforward.org/data-structure/program-to-generate-pascals-triangle/" TargetMode="External"/><Relationship Id="rId22" Type="http://schemas.openxmlformats.org/officeDocument/2006/relationships/hyperlink" Target="https://leetcode.com/problems/pascals-triangle/" TargetMode="External"/><Relationship Id="rId23" Type="http://schemas.openxmlformats.org/officeDocument/2006/relationships/hyperlink" Target="https://www.geeksforgeeks.org/problems/pascal-triangle0652/1" TargetMode="External"/><Relationship Id="rId24" Type="http://schemas.openxmlformats.org/officeDocument/2006/relationships/hyperlink" Target="https://www.youtube.com/watch?v=6FLvhQjZqvM" TargetMode="External"/><Relationship Id="rId25" Type="http://schemas.openxmlformats.org/officeDocument/2006/relationships/hyperlink" Target="https://takeuforward.org/data-structure/sort-an-array-of-0s-1s-and-2s/" TargetMode="External"/><Relationship Id="rId26" Type="http://schemas.openxmlformats.org/officeDocument/2006/relationships/hyperlink" Target="https://leetcode.com/problems/sort-colors/" TargetMode="External"/><Relationship Id="rId27" Type="http://schemas.openxmlformats.org/officeDocument/2006/relationships/hyperlink" Target="https://www.geeksforgeeks.org/problems/sort-an-array-of-0s-1s-and-2s4231/1" TargetMode="External"/><Relationship Id="rId28" Type="http://schemas.openxmlformats.org/officeDocument/2006/relationships/hyperlink" Target="https://www.youtube.com/watch?v=tp8JIuCXyhw" TargetMode="External"/><Relationship Id="rId29" Type="http://schemas.openxmlformats.org/officeDocument/2006/relationships/hyperlink" Target="https://takeuforward.org/data-structure/kadanes-algorithm-maximum-subarray-sum-in-an-array/" TargetMode="External"/><Relationship Id="rId30" Type="http://schemas.openxmlformats.org/officeDocument/2006/relationships/hyperlink" Target="https://leetcode.com/problems/maximum-subarray/" TargetMode="External"/><Relationship Id="rId31" Type="http://schemas.openxmlformats.org/officeDocument/2006/relationships/hyperlink" Target="https://www.geeksforgeeks.org/problems/kadanes-algorithm-1587115620/1" TargetMode="External"/><Relationship Id="rId32" Type="http://schemas.openxmlformats.org/officeDocument/2006/relationships/hyperlink" Target="https://www.youtube.com/watch?v=AHtPxO1KzXY" TargetMode="External"/><Relationship Id="rId33" Type="http://schemas.openxmlformats.org/officeDocument/2006/relationships/hyperlink" Target="https://takeuforward.org/data-structure/maximum-product-subarray-in-an-array/" TargetMode="External"/><Relationship Id="rId34" Type="http://schemas.openxmlformats.org/officeDocument/2006/relationships/hyperlink" Target="https://leetcode.com/problems/maximum-product-subarray/" TargetMode="External"/><Relationship Id="rId35" Type="http://schemas.openxmlformats.org/officeDocument/2006/relationships/hyperlink" Target="https://www.geeksforgeeks.org/problems/maximum-product-subarray3604/1" TargetMode="External"/><Relationship Id="rId36" Type="http://schemas.openxmlformats.org/officeDocument/2006/relationships/hyperlink" Target="https://www.youtube.com/watch?v=hnasdC3m_GP" TargetMode="External"/><Relationship Id="rId37" Type="http://schemas.openxmlformats.org/officeDocument/2006/relationships/hyperlink" Target="https://takeuforward.org/data-structure/merge-overlapping-sub-intervals/" TargetMode="External"/><Relationship Id="rId38" Type="http://schemas.openxmlformats.org/officeDocument/2006/relationships/hyperlink" Target="https://leetcode.com/problems/merge-intervals/" TargetMode="External"/><Relationship Id="rId39" Type="http://schemas.openxmlformats.org/officeDocument/2006/relationships/hyperlink" Target="https://www.geeksforgeeks.org/problems/overlapping-intervals--170633/1" TargetMode="External"/><Relationship Id="rId40" Type="http://schemas.openxmlformats.org/officeDocument/2006/relationships/hyperlink" Target="https://www.youtube.com/watch?v=2JzRBPFYbKE" TargetMode="External"/><Relationship Id="rId41" Type="http://schemas.openxmlformats.org/officeDocument/2006/relationships/hyperlink" Target="https://takeuforward.org/data-structure/insert-interval/" TargetMode="External"/><Relationship Id="rId42" Type="http://schemas.openxmlformats.org/officeDocument/2006/relationships/hyperlink" Target="https://leetcode.com/problems/insert-interval/" TargetMode="External"/><Relationship Id="rId43" Type="http://schemas.openxmlformats.org/officeDocument/2006/relationships/hyperlink" Target="https://www.geeksforgeeks.org/problems/insert-interval-1666733333/1" TargetMode="External"/><Relationship Id="rId44" Type="http://schemas.openxmlformats.org/officeDocument/2006/relationships/hyperlink" Target="https://www.youtube.com/watch?v=xxRE-46b8wc" TargetMode="External"/><Relationship Id="rId45" Type="http://schemas.openxmlformats.org/officeDocument/2006/relationships/hyperlink" Target="https://takeuforward.org/data-structure/non-overlapping-intervals/" TargetMode="External"/><Relationship Id="rId46" Type="http://schemas.openxmlformats.org/officeDocument/2006/relationships/hyperlink" Target="https://leetcode.com/problems/non-overlapping-intervals/" TargetMode="External"/><Relationship Id="rId47" Type="http://schemas.openxmlformats.org/officeDocument/2006/relationships/hyperlink" Target="https://www.geeksforgeeks.org/problems/non-overlapping-intervals/1" TargetMode="External"/><Relationship Id="rId48" Type="http://schemas.openxmlformats.org/officeDocument/2006/relationships/hyperlink" Target="https://www.youtube.com/watch?v=HDHQ8lrfipg" TargetMode="External"/><Relationship Id="rId49" Type="http://schemas.openxmlformats.org/officeDocument/2006/relationships/hyperlink" Target="https://takeuforward.org/data-structure/product-of-array-except-self/" TargetMode="External"/><Relationship Id="rId50" Type="http://schemas.openxmlformats.org/officeDocument/2006/relationships/hyperlink" Target="https://leetcode.com/problems/product-of-array-except-self/" TargetMode="External"/><Relationship Id="rId51" Type="http://schemas.openxmlformats.org/officeDocument/2006/relationships/hyperlink" Target="https://www.geeksforgeeks.org/problems/product-array-puzzle4525/1" TargetMode="External"/><Relationship Id="rId52" Type="http://schemas.openxmlformats.org/officeDocument/2006/relationships/hyperlink" Target="https://www.youtube.com/watch?v=gZHriFXtTtw" TargetMode="External"/><Relationship Id="rId53" Type="http://schemas.openxmlformats.org/officeDocument/2006/relationships/hyperlink" Target="https://takeuforward.org/data-structure/find-duplicates-in-an-array/" TargetMode="External"/><Relationship Id="rId54" Type="http://schemas.openxmlformats.org/officeDocument/2006/relationships/hyperlink" Target="https://leetcode.com/problems/find-all-duplicates-in-an-array/" TargetMode="External"/><Relationship Id="rId55" Type="http://schemas.openxmlformats.org/officeDocument/2006/relationships/hyperlink" Target="https://www.geeksforgeeks.org/problems/find-duplicates-in-an-array/1" TargetMode="External"/><Relationship Id="rId56" Type="http://schemas.openxmlformats.org/officeDocument/2006/relationships/hyperlink" Target="https://www.youtube.com/watch?v=32Ll35mhWg0" TargetMode="External"/><Relationship Id="rId57" Type="http://schemas.openxmlformats.org/officeDocument/2006/relationships/hyperlink" Target="https://takeuforward.org/data-structure/next_permutation-find-next-lexicographically-greater-permutation/" TargetMode="External"/><Relationship Id="rId58" Type="http://schemas.openxmlformats.org/officeDocument/2006/relationships/hyperlink" Target="https://leetcode.com/problems/next-permutation/" TargetMode="External"/><Relationship Id="rId59" Type="http://schemas.openxmlformats.org/officeDocument/2006/relationships/hyperlink" Target="https://www.geeksforgeeks.org/problems/next-permutation5226/1" TargetMode="External"/><Relationship Id="rId60" Type="http://schemas.openxmlformats.org/officeDocument/2006/relationships/hyperlink" Target="https://www.youtube.com/watch?v=JDOXKqF60RQ" TargetMode="External"/><Relationship Id="rId61" Type="http://schemas.openxmlformats.org/officeDocument/2006/relationships/hyperlink" Target="https://takeuforward.org/data-structure/rotate-image-by-90-degrees/" TargetMode="External"/><Relationship Id="rId62" Type="http://schemas.openxmlformats.org/officeDocument/2006/relationships/hyperlink" Target="https://leetcode.com/problems/rotate-image/" TargetMode="External"/><Relationship Id="rId63" Type="http://schemas.openxmlformats.org/officeDocument/2006/relationships/hyperlink" Target="https://www.geeksforgeeks.org/problems/rotate-by-90-degree-1587115621/1" TargetMode="External"/><Relationship Id="rId64" Type="http://schemas.openxmlformats.org/officeDocument/2006/relationships/hyperlink" Target="https://www.youtube.com/watch?v=Y72QeX0Efxw" TargetMode="External"/><Relationship Id="rId65" Type="http://schemas.openxmlformats.org/officeDocument/2006/relationships/hyperlink" Target="https://takeuforward.org/data-structure/spiral-traversal-of-matrix/" TargetMode="External"/><Relationship Id="rId66" Type="http://schemas.openxmlformats.org/officeDocument/2006/relationships/hyperlink" Target="https://leetcode.com/problems/spiral-matrix/" TargetMode="External"/><Relationship Id="rId67" Type="http://schemas.openxmlformats.org/officeDocument/2006/relationships/hyperlink" Target="https://www.geeksforgeeks.org/problems/spirally-traversing-a-matrix-1587115621/1" TargetMode="External"/><Relationship Id="rId68" Type="http://schemas.openxmlformats.org/officeDocument/2006/relationships/hyperlink" Target="https://www.youtube.com/watch?v=3joo9yAZQw0" TargetMode="External"/><Relationship Id="rId69" Type="http://schemas.openxmlformats.org/officeDocument/2006/relationships/hyperlink" Target="https://takeuforward.org/data-structure/container-with-most-water/" TargetMode="External"/><Relationship Id="rId70" Type="http://schemas.openxmlformats.org/officeDocument/2006/relationships/hyperlink" Target="https://leetcode.com/problems/container-with-most-water/" TargetMode="External"/><Relationship Id="rId71" Type="http://schemas.openxmlformats.org/officeDocument/2006/relationships/hyperlink" Target="https://www.geeksforgeeks.org/problems/container-with-most-water5659/1" TargetMode="External"/><Relationship Id="rId72" Type="http://schemas.openxmlformats.org/officeDocument/2006/relationships/hyperlink" Target="https://www.youtube.com/watch?v=w7ftYGdHZz8" TargetMode="External"/><Relationship Id="rId73" Type="http://schemas.openxmlformats.org/officeDocument/2006/relationships/hyperlink" Target="https://takeuforward.org/data-structure/3-sum-find-triplets-that-add-up-to-zero/" TargetMode="External"/><Relationship Id="rId74" Type="http://schemas.openxmlformats.org/officeDocument/2006/relationships/hyperlink" Target="https://leetcode.com/problems/3sum/" TargetMode="External"/><Relationship Id="rId75" Type="http://schemas.openxmlformats.org/officeDocument/2006/relationships/hyperlink" Target="https://www.geeksforgeeks.org/problems/3-sum-closest/1" TargetMode="External"/><Relationship Id="rId76" Type="http://schemas.openxmlformats.org/officeDocument/2006/relationships/hyperlink" Target="https://www.youtube.com/watch?v=DhFh8Kw7ymk" TargetMode="External"/><Relationship Id="rId77" Type="http://schemas.openxmlformats.org/officeDocument/2006/relationships/hyperlink" Target="https://takeuforward.org/data-structure/4-sum-find-quadruplets-that-add-up-to-a-target-value/" TargetMode="External"/><Relationship Id="rId78" Type="http://schemas.openxmlformats.org/officeDocument/2006/relationships/hyperlink" Target="https://leetcode.com/problems/4sum/" TargetMode="External"/><Relationship Id="rId79" Type="http://schemas.openxmlformats.org/officeDocument/2006/relationships/hyperlink" Target="https://www.geeksforgeeks.org/problems/find-all-four-sum-numbers1735/1" TargetMode="External"/><Relationship Id="rId80" Type="http://schemas.openxmlformats.org/officeDocument/2006/relationships/hyperlink" Target="https://www.youtube.com/watch?v=eD95WRlfAxM" TargetMode="External"/><Relationship Id="rId81" Type="http://schemas.openxmlformats.org/officeDocument/2006/relationships/hyperlink" Target="https://takeuforward.org/data-structure/set-matrix-zeroes/" TargetMode="External"/><Relationship Id="rId82" Type="http://schemas.openxmlformats.org/officeDocument/2006/relationships/hyperlink" Target="https://leetcode.com/problems/set-matrix-zeroes/" TargetMode="External"/><Relationship Id="rId83" Type="http://schemas.openxmlformats.org/officeDocument/2006/relationships/hyperlink" Target="https://www.geeksforgeeks.org/problems/a-boolean-matrix-question-1587115620/1" TargetMode="External"/><Relationship Id="rId84" Type="http://schemas.openxmlformats.org/officeDocument/2006/relationships/hyperlink" Target="https://www.youtube.com/watch?v=N0MgLvceX7M" TargetMode="External"/><Relationship Id="rId85" Type="http://schemas.openxmlformats.org/officeDocument/2006/relationships/hyperlink" Target="https://takeuforward.org/data-structure/rotate-array-by-k-elements/" TargetMode="External"/><Relationship Id="rId86" Type="http://schemas.openxmlformats.org/officeDocument/2006/relationships/hyperlink" Target="https://leetcode.com/problems/rotate-array/" TargetMode="External"/><Relationship Id="rId87" Type="http://schemas.openxmlformats.org/officeDocument/2006/relationships/hyperlink" Target="https://www.geeksforgeeks.org/problems/rotate-array-by-n-elements-1587115621/1" TargetMode="External"/><Relationship Id="rId88" Type="http://schemas.openxmlformats.org/officeDocument/2006/relationships/hyperlink" Target="https://www.youtube.com/watch?v=wvesyZcyvY4" TargetMode="External"/><Relationship Id="rId89" Type="http://schemas.openxmlformats.org/officeDocument/2006/relationships/hyperlink" Target="https://takeuforward.org/data-structure/longest-consecutive-sequence-in-an-array/" TargetMode="External"/><Relationship Id="rId90" Type="http://schemas.openxmlformats.org/officeDocument/2006/relationships/hyperlink" Target="https://leetcode.com/problems/longest-consecutive-sequence/" TargetMode="External"/><Relationship Id="rId91" Type="http://schemas.openxmlformats.org/officeDocument/2006/relationships/hyperlink" Target="https://www.geeksforgeeks.org/problems/longest-consecutive-subsequence2449/1" TargetMode="External"/><Relationship Id="rId92" Type="http://schemas.openxmlformats.org/officeDocument/2006/relationships/hyperlink" Target="https://www.youtube.com/watch?v=oO5uLE7EUlM" TargetMode="External"/><Relationship Id="rId93" Type="http://schemas.openxmlformats.org/officeDocument/2006/relationships/hyperlink" Target="https://takeuforward.org/data-structure/split-array-largest-sum/" TargetMode="External"/><Relationship Id="rId94" Type="http://schemas.openxmlformats.org/officeDocument/2006/relationships/hyperlink" Target="https://leetcode.com/problems/subarray-sum-equals-k/" TargetMode="External"/><Relationship Id="rId95" Type="http://schemas.openxmlformats.org/officeDocument/2006/relationships/hyperlink" Target="https://www.geeksforgeeks.org/problems/subarrays-with-sum-k/1" TargetMode="External"/><Relationship Id="rId96" Type="http://schemas.openxmlformats.org/officeDocument/2006/relationships/hyperlink" Target="https://www.youtube.com/watch?v=xvN19CSIUNo" TargetMode="External"/><Relationship Id="rId97" Type="http://schemas.openxmlformats.org/officeDocument/2006/relationships/hyperlink" Target="https://takeuforward.org/data-structure/subarray-sums-divisible-by-k/" TargetMode="External"/><Relationship Id="rId98" Type="http://schemas.openxmlformats.org/officeDocument/2006/relationships/hyperlink" Target="https://leetcode.com/problems/subarray-sums-divisible-by-k/" TargetMode="External"/><Relationship Id="rId99" Type="http://schemas.openxmlformats.org/officeDocument/2006/relationships/hyperlink" Target="https://www.geeksforgeeks.org/problems/sub-array-sum-divisible-by-k1259/1" TargetMode="External"/><Relationship Id="rId100" Type="http://schemas.openxmlformats.org/officeDocument/2006/relationships/hyperlink" Target="https://www.youtube.com/watch?v=QM0kxtb8Uew" TargetMode="External"/><Relationship Id="rId101" Type="http://schemas.openxmlformats.org/officeDocument/2006/relationships/hyperlink" Target="https://takeuforward.org/data-structure/first-missing-positive/" TargetMode="External"/><Relationship Id="rId102" Type="http://schemas.openxmlformats.org/officeDocument/2006/relationships/hyperlink" Target="https://leetcode.com/problems/first-missing-positive/" TargetMode="External"/><Relationship Id="rId103" Type="http://schemas.openxmlformats.org/officeDocument/2006/relationships/hyperlink" Target="https://www.geeksforgeeks.org/problems/first-missing-positive/1" TargetMode="External"/><Relationship Id="rId104" Type="http://schemas.openxmlformats.org/officeDocument/2006/relationships/hyperlink" Target="https://www.youtube.com/watch?v=8g78yfzMlao" TargetMode="External"/><Relationship Id="rId105" Type="http://schemas.openxmlformats.org/officeDocument/2006/relationships/hyperlink" Target="https://takeuforward.org/data-structure/median-of-two-sorted-arrays-of-different-sizes/" TargetMode="External"/><Relationship Id="rId106" Type="http://schemas.openxmlformats.org/officeDocument/2006/relationships/hyperlink" Target="https://leetcode.com/problems/median-of-two-sorted-arrays/" TargetMode="External"/><Relationship Id="rId107" Type="http://schemas.openxmlformats.org/officeDocument/2006/relationships/hyperlink" Target="https://www.geeksforgeeks.org/problems/median-of-2-sorted-arrays-of-different-sizes/1" TargetMode="External"/><Relationship Id="rId108" Type="http://schemas.openxmlformats.org/officeDocument/2006/relationships/hyperlink" Target="https://www.youtube.com/watch?v=F9c7LpRZWVQ" TargetMode="External"/><Relationship Id="rId109" Type="http://schemas.openxmlformats.org/officeDocument/2006/relationships/hyperlink" Target="https://takeuforward.org/data-structure/trapping-rainwater-and-maximising-the-amount-of-water-stored/" TargetMode="External"/><Relationship Id="rId110" Type="http://schemas.openxmlformats.org/officeDocument/2006/relationships/hyperlink" Target="https://leetcode.com/problems/trapping-rain-water/" TargetMode="External"/><Relationship Id="rId111" Type="http://schemas.openxmlformats.org/officeDocument/2006/relationships/hyperlink" Target="https://www.geeksforgeeks.org/problems/trapping-rain-water-1587115621/1" TargetMode="External"/><Relationship Id="rId112" Type="http://schemas.openxmlformats.org/officeDocument/2006/relationships/hyperlink" Target="https://www.youtube.com/watch?v=m18Hntz4go8" TargetMode="External"/><Relationship Id="rId113" Type="http://schemas.openxmlformats.org/officeDocument/2006/relationships/hyperlink" Target="https://takeuforward.org/data-structure/max-chunks-to-make-sorted/" TargetMode="External"/><Relationship Id="rId114" Type="http://schemas.openxmlformats.org/officeDocument/2006/relationships/hyperlink" Target="https://leetcode.com/problems/max-chunks-to-make-sorted/" TargetMode="External"/><Relationship Id="rId115" Type="http://schemas.openxmlformats.org/officeDocument/2006/relationships/hyperlink" Target="https://www.geeksforgeeks.org/problems/max-chunks-to-make-sorted/1" TargetMode="External"/><Relationship Id="rId116" Type="http://schemas.openxmlformats.org/officeDocument/2006/relationships/hyperlink" Target="https://www.youtube.com/watch?v=XZueXNu9Lxo" TargetMode="External"/><Relationship Id="rId117" Type="http://schemas.openxmlformats.org/officeDocument/2006/relationships/hyperlink" Target="https://takeuforward.org/data-structure/find-the-duplicate-number-in-an-array-of-n1-integers/" TargetMode="External"/><Relationship Id="rId118" Type="http://schemas.openxmlformats.org/officeDocument/2006/relationships/hyperlink" Target="https://leetcode.com/problems/find-the-duplicate-number/" TargetMode="External"/><Relationship Id="rId119" Type="http://schemas.openxmlformats.org/officeDocument/2006/relationships/hyperlink" Target="https://www.geeksforgeeks.org/problems/find-duplicates-in-an-array/1" TargetMode="External"/><Relationship Id="rId120" Type="http://schemas.openxmlformats.org/officeDocument/2006/relationships/hyperlink" Target="https://www.youtube.com/watch?v=32Ll35mhWg0" TargetMode="External"/><Relationship Id="rId121" Type="http://schemas.openxmlformats.org/officeDocument/2006/relationships/hyperlink" Target="https://takeuforward.org/data-structure/find-the-repeating-and-missing-numbers/" TargetMode="External"/><Relationship Id="rId122" Type="http://schemas.openxmlformats.org/officeDocument/2006/relationships/hyperlink" Target="https://leetcode.com/problems/missing-number/" TargetMode="External"/><Relationship Id="rId123" Type="http://schemas.openxmlformats.org/officeDocument/2006/relationships/hyperlink" Target="https://www.geeksforgeeks.org/problems/find-missing-and-repeating2512/1" TargetMode="External"/><Relationship Id="rId124" Type="http://schemas.openxmlformats.org/officeDocument/2006/relationships/hyperlink" Target="https://www.youtube.com/watch?v=5nMGy4VUAdY" TargetMode="External"/><Relationship Id="rId125" Type="http://schemas.openxmlformats.org/officeDocument/2006/relationships/hyperlink" Target="https://takeuforward.org/data-structure/count-inversions-in-an-array/" TargetMode="External"/><Relationship Id="rId126" Type="http://schemas.openxmlformats.org/officeDocument/2006/relationships/hyperlink" Target="https://leetcode.com/problems/global-and-local-inversions/" TargetMode="External"/><Relationship Id="rId127" Type="http://schemas.openxmlformats.org/officeDocument/2006/relationships/hyperlink" Target="https://www.geeksforgeeks.org/problems/inversion-of-array-1587115620/1" TargetMode="External"/><Relationship Id="rId128" Type="http://schemas.openxmlformats.org/officeDocument/2006/relationships/hyperlink" Target="https://www.youtube.com/watch?v=kQ1mJlwW-c0" TargetMode="External"/><Relationship Id="rId129" Type="http://schemas.openxmlformats.org/officeDocument/2006/relationships/hyperlink" Target="https://takeuforward.org/data-structure/reverse-pairs/" TargetMode="External"/><Relationship Id="rId130" Type="http://schemas.openxmlformats.org/officeDocument/2006/relationships/hyperlink" Target="https://leetcode.com/problems/reverse-pairs/" TargetMode="External"/><Relationship Id="rId131" Type="http://schemas.openxmlformats.org/officeDocument/2006/relationships/hyperlink" Target="https://www.geeksforgeeks.org/problems/reverse-pairs/1" TargetMode="External"/><Relationship Id="rId132" Type="http://schemas.openxmlformats.org/officeDocument/2006/relationships/hyperlink" Target="https://www.youtube.com/watch?v=0e4bZaP3MDI" TargetMode="External"/><Relationship Id="rId133" Type="http://schemas.openxmlformats.org/officeDocument/2006/relationships/hyperlink" Target="https://takeuforward.org/data-structure/count-maximum-consecutive-ones-in-the-array/" TargetMode="External"/><Relationship Id="rId134" Type="http://schemas.openxmlformats.org/officeDocument/2006/relationships/hyperlink" Target="https://leetcode.com/problems/max-consecutive-ones/" TargetMode="External"/><Relationship Id="rId135" Type="http://schemas.openxmlformats.org/officeDocument/2006/relationships/hyperlink" Target="https://www.geeksforgeeks.org/problems/max-consecutive-ones/1" TargetMode="External"/><Relationship Id="rId136" Type="http://schemas.openxmlformats.org/officeDocument/2006/relationships/hyperlink" Target="https://www.youtube.com/watch?v=bYwlQs3ca1Q" TargetMode="External"/><Relationship Id="rId137" Type="http://schemas.openxmlformats.org/officeDocument/2006/relationships/hyperlink" Target="https://takeuforward.org/data-structure/leaders-in-an-array/" TargetMode="External"/><Relationship Id="rId138" Type="http://schemas.openxmlformats.org/officeDocument/2006/relationships/hyperlink" Target="https://leetcode.com/problems/replace-elements-with-greatest-element-on-right-side/" TargetMode="External"/><Relationship Id="rId139" Type="http://schemas.openxmlformats.org/officeDocument/2006/relationships/hyperlink" Target="https://www.geeksforgeeks.org/problems/leaders-in-an-array-1587115620/1" TargetMode="External"/><Relationship Id="rId140" Type="http://schemas.openxmlformats.org/officeDocument/2006/relationships/hyperlink" Target="https://www.youtube.com/watch?v=cHrH9OPBiOk" TargetMode="External"/><Relationship Id="rId141" Type="http://schemas.openxmlformats.org/officeDocument/2006/relationships/hyperlink" Target="https://takeuforward.org/data-structure/contains-duplicate/" TargetMode="External"/><Relationship Id="rId142" Type="http://schemas.openxmlformats.org/officeDocument/2006/relationships/hyperlink" Target="https://leetcode.com/problems/contains-duplicate/" TargetMode="External"/><Relationship Id="rId143" Type="http://schemas.openxmlformats.org/officeDocument/2006/relationships/hyperlink" Target="https://www.geeksforgeeks.org/problems/duplicates-in-array/1" TargetMode="External"/><Relationship Id="rId144" Type="http://schemas.openxmlformats.org/officeDocument/2006/relationships/hyperlink" Target="https://www.youtube.com/watch?v=3OamzN90kQg" TargetMode="External"/><Relationship Id="rId145" Type="http://schemas.openxmlformats.org/officeDocument/2006/relationships/hyperlink" Target="https://takeuforward.org/data-structure/check-if-two-strings-are-anagram-of-each-other/" TargetMode="External"/><Relationship Id="rId146" Type="http://schemas.openxmlformats.org/officeDocument/2006/relationships/hyperlink" Target="https://leetcode.com/problems/valid-anagram/" TargetMode="External"/><Relationship Id="rId147" Type="http://schemas.openxmlformats.org/officeDocument/2006/relationships/hyperlink" Target="https://www.geeksforgeeks.org/problems/anagram-1587115620/1" TargetMode="External"/><Relationship Id="rId148" Type="http://schemas.openxmlformats.org/officeDocument/2006/relationships/hyperlink" Target="https://www.youtube.com/watch?v=GJPflX642Xw" TargetMode="External"/><Relationship Id="rId149" Type="http://schemas.openxmlformats.org/officeDocument/2006/relationships/hyperlink" Target="https://takeuforward.org/data-structure/intersection-of-two-sorted-arrays/" TargetMode="External"/><Relationship Id="rId150" Type="http://schemas.openxmlformats.org/officeDocument/2006/relationships/hyperlink" Target="https://leetcode.com/problems/intersection-of-two-arrays/" TargetMode="External"/><Relationship Id="rId151" Type="http://schemas.openxmlformats.org/officeDocument/2006/relationships/hyperlink" Target="https://www.geeksforgeeks.org/problems/intersection-of-two-arrays2404/1" TargetMode="External"/><Relationship Id="rId152" Type="http://schemas.openxmlformats.org/officeDocument/2006/relationships/hyperlink" Target="https://www.youtube.com/watch?v=wgdS94GIOpM" TargetMode="External"/><Relationship Id="rId153" Type="http://schemas.openxmlformats.org/officeDocument/2006/relationships/hyperlink" Target="https://takeuforward.org/data-structure/find-all-anagrams-in-a-string/" TargetMode="External"/><Relationship Id="rId154" Type="http://schemas.openxmlformats.org/officeDocument/2006/relationships/hyperlink" Target="https://leetcode.com/problems/find-all-anagrams-in-a-string/" TargetMode="External"/><Relationship Id="rId155" Type="http://schemas.openxmlformats.org/officeDocument/2006/relationships/hyperlink" Target="https://www.geeksforgeeks.org/problems/count-occurences-of-anagrams6222/1" TargetMode="External"/><Relationship Id="rId156" Type="http://schemas.openxmlformats.org/officeDocument/2006/relationships/hyperlink" Target="https://www.youtube.com/watch?v=tC32HyV1OIs" TargetMode="External"/><Relationship Id="rId157" Type="http://schemas.openxmlformats.org/officeDocument/2006/relationships/hyperlink" Target="https://takeuforward.org/data-structure/group-anagrams/" TargetMode="External"/><Relationship Id="rId158" Type="http://schemas.openxmlformats.org/officeDocument/2006/relationships/hyperlink" Target="https://leetcode.com/problems/group-anagrams/" TargetMode="External"/><Relationship Id="rId159" Type="http://schemas.openxmlformats.org/officeDocument/2006/relationships/hyperlink" Target="https://www.geeksforgeeks.org/problems/print-anagrams-together/1" TargetMode="External"/><Relationship Id="rId160" Type="http://schemas.openxmlformats.org/officeDocument/2006/relationships/hyperlink" Target="https://www.youtube.com/watch?v=vzdNOK2oB2E" TargetMode="External"/><Relationship Id="rId161" Type="http://schemas.openxmlformats.org/officeDocument/2006/relationships/hyperlink" Target="https://takeuforward.org/data-structure/top-k-frequent-elements-in-array/" TargetMode="External"/><Relationship Id="rId162" Type="http://schemas.openxmlformats.org/officeDocument/2006/relationships/hyperlink" Target="https://leetcode.com/problems/top-k-frequent-elements/" TargetMode="External"/><Relationship Id="rId163" Type="http://schemas.openxmlformats.org/officeDocument/2006/relationships/hyperlink" Target="https://www.geeksforgeeks.org/problems/top-k-frequent-elements-in-array--170637/1" TargetMode="External"/><Relationship Id="rId164" Type="http://schemas.openxmlformats.org/officeDocument/2006/relationships/hyperlink" Target="https://www.youtube.com/watch?v=YPTqKIgVk-k" TargetMode="External"/><Relationship Id="rId165" Type="http://schemas.openxmlformats.org/officeDocument/2006/relationships/hyperlink" Target="https://takeuforward.org/data-structure/longest-consecutive-sequence-in-an-array/" TargetMode="External"/><Relationship Id="rId166" Type="http://schemas.openxmlformats.org/officeDocument/2006/relationships/hyperlink" Target="https://leetcode.com/problems/longest-consecutive-sequence/" TargetMode="External"/><Relationship Id="rId167" Type="http://schemas.openxmlformats.org/officeDocument/2006/relationships/hyperlink" Target="https://www.geeksforgeeks.org/problems/longest-consecutive-subsequence2449/1" TargetMode="External"/><Relationship Id="rId168" Type="http://schemas.openxmlformats.org/officeDocument/2006/relationships/hyperlink" Target="https://www.youtube.com/watch?v=oO5uLE7EUlM" TargetMode="External"/><Relationship Id="rId169" Type="http://schemas.openxmlformats.org/officeDocument/2006/relationships/hyperlink" Target="https://takeuforward.org/data-structure/count-the-number-of-subarrays-with-given-xor-k/" TargetMode="External"/><Relationship Id="rId170" Type="http://schemas.openxmlformats.org/officeDocument/2006/relationships/hyperlink" Target="https://leetcode.com/problems/substring-with-concatenation-of-all-words/" TargetMode="External"/><Relationship Id="rId171" Type="http://schemas.openxmlformats.org/officeDocument/2006/relationships/hyperlink" Target="https://www.geeksforgeeks.org/problems/subarray-with-given-xor/1" TargetMode="External"/><Relationship Id="rId172" Type="http://schemas.openxmlformats.org/officeDocument/2006/relationships/hyperlink" Target="https://www.youtube.com/watch?v=eZrV_AH5QnQ" TargetMode="External"/><Relationship Id="rId173" Type="http://schemas.openxmlformats.org/officeDocument/2006/relationships/hyperlink" Target="https://takeuforward.org/data-structure/subarrays-with-k-different-integers/" TargetMode="External"/><Relationship Id="rId174" Type="http://schemas.openxmlformats.org/officeDocument/2006/relationships/hyperlink" Target="https://leetcode.com/problems/subarrays-with-k-different-integers/" TargetMode="External"/><Relationship Id="rId175" Type="http://schemas.openxmlformats.org/officeDocument/2006/relationships/hyperlink" Target="https://www.geeksforgeeks.org/problems/subarrays-with-k-different-integers/1" TargetMode="External"/><Relationship Id="rId176" Type="http://schemas.openxmlformats.org/officeDocument/2006/relationships/hyperlink" Target="https://www.youtube.com/watch?v=akwRFY2eL0Y" TargetMode="External"/><Relationship Id="rId177" Type="http://schemas.openxmlformats.org/officeDocument/2006/relationships/hyperlink" Target="https://takeuforward.org/data-structure/isomorphic-strings/" TargetMode="External"/><Relationship Id="rId178" Type="http://schemas.openxmlformats.org/officeDocument/2006/relationships/hyperlink" Target="https://leetcode.com/problems/isomorphic-strings/" TargetMode="External"/><Relationship Id="rId179" Type="http://schemas.openxmlformats.org/officeDocument/2006/relationships/hyperlink" Target="https://www.geeksforgeeks.org/problems/isomorphic-strings-1587115620/1" TargetMode="External"/><Relationship Id="rId180" Type="http://schemas.openxmlformats.org/officeDocument/2006/relationships/hyperlink" Target="https://www.youtube.com/watch?v=7yF-U1hLEqQ" TargetMode="External"/><Relationship Id="rId181" Type="http://schemas.openxmlformats.org/officeDocument/2006/relationships/hyperlink" Target="https://takeuforward.org/data-structure/word-pattern/" TargetMode="External"/><Relationship Id="rId182" Type="http://schemas.openxmlformats.org/officeDocument/2006/relationships/hyperlink" Target="https://leetcode.com/problems/word-pattern/" TargetMode="External"/><Relationship Id="rId183" Type="http://schemas.openxmlformats.org/officeDocument/2006/relationships/hyperlink" Target="https://www.geeksforgeeks.org/problems/word-pattern/1" TargetMode="External"/><Relationship Id="rId184" Type="http://schemas.openxmlformats.org/officeDocument/2006/relationships/hyperlink" Target="https://www.youtube.com/watch?v=W_qkDpNy_6E" TargetMode="External"/><Relationship Id="rId185" Type="http://schemas.openxmlformats.org/officeDocument/2006/relationships/hyperlink" Target="https://takeuforward.org/data-structure/first-unique-character-in-a-string/" TargetMode="External"/><Relationship Id="rId186" Type="http://schemas.openxmlformats.org/officeDocument/2006/relationships/hyperlink" Target="https://leetcode.com/problems/first-unique-character-in-a-string/" TargetMode="External"/><Relationship Id="rId187" Type="http://schemas.openxmlformats.org/officeDocument/2006/relationships/hyperlink" Target="https://www.geeksforgeeks.org/problems/non-repeating-character-1587115620/1" TargetMode="External"/><Relationship Id="rId188" Type="http://schemas.openxmlformats.org/officeDocument/2006/relationships/hyperlink" Target="https://www.youtube.com/watch?v=gS9eLXvR798" TargetMode="External"/><Relationship Id="rId189" Type="http://schemas.openxmlformats.org/officeDocument/2006/relationships/hyperlink" Target="https://takeuforward.org/data-structure/ransom-note/" TargetMode="External"/><Relationship Id="rId190" Type="http://schemas.openxmlformats.org/officeDocument/2006/relationships/hyperlink" Target="https://leetcode.com/problems/ransom-note/" TargetMode="External"/><Relationship Id="rId191" Type="http://schemas.openxmlformats.org/officeDocument/2006/relationships/hyperlink" Target="https://www.geeksforgeeks.org/problems/ransom-note/1" TargetMode="External"/><Relationship Id="rId192" Type="http://schemas.openxmlformats.org/officeDocument/2006/relationships/hyperlink" Target="https://www.youtube.com/watch?v=yGf5TKnkP9A" TargetMode="External"/><Relationship Id="rId193" Type="http://schemas.openxmlformats.org/officeDocument/2006/relationships/hyperlink" Target="https://takeuforward.org/data-structure/happy-number/" TargetMode="External"/><Relationship Id="rId194" Type="http://schemas.openxmlformats.org/officeDocument/2006/relationships/hyperlink" Target="https://leetcode.com/problems/happy-number/" TargetMode="External"/><Relationship Id="rId195" Type="http://schemas.openxmlformats.org/officeDocument/2006/relationships/hyperlink" Target="https://www.geeksforgeeks.org/problems/happy-number/1" TargetMode="External"/><Relationship Id="rId196" Type="http://schemas.openxmlformats.org/officeDocument/2006/relationships/hyperlink" Target="https://www.youtube.com/watch?v=F_fP-k71Lqo" TargetMode="External"/><Relationship Id="rId197" Type="http://schemas.openxmlformats.org/officeDocument/2006/relationships/hyperlink" Target="https://takeuforward.org/data-structure/jewels-and-stones/" TargetMode="External"/><Relationship Id="rId198" Type="http://schemas.openxmlformats.org/officeDocument/2006/relationships/hyperlink" Target="https://leetcode.com/problems/jewels-and-stones/" TargetMode="External"/><Relationship Id="rId199" Type="http://schemas.openxmlformats.org/officeDocument/2006/relationships/hyperlink" Target="https://www.geeksforgeeks.org/problems/jewels-and-stones/1" TargetMode="External"/><Relationship Id="rId200" Type="http://schemas.openxmlformats.org/officeDocument/2006/relationships/hyperlink" Target="https://www.youtube.com/watch?v=Vz52s3v_g3I" TargetMode="External"/><Relationship Id="rId201" Type="http://schemas.openxmlformats.org/officeDocument/2006/relationships/hyperlink" Target="https://takeuforward.org/data-structure/custom-sort-string/" TargetMode="External"/><Relationship Id="rId202" Type="http://schemas.openxmlformats.org/officeDocument/2006/relationships/hyperlink" Target="https://leetcode.com/problems/custom-sort-string/" TargetMode="External"/><Relationship Id="rId203" Type="http://schemas.openxmlformats.org/officeDocument/2006/relationships/hyperlink" Target="https://www.geeksforgeeks.org/problems/custom-sort-string/1" TargetMode="External"/><Relationship Id="rId204" Type="http://schemas.openxmlformats.org/officeDocument/2006/relationships/hyperlink" Target="https://www.youtube.com/watch?v=7u1v8b6t-Ww" TargetMode="External"/><Relationship Id="rId205" Type="http://schemas.openxmlformats.org/officeDocument/2006/relationships/hyperlink" Target="https://takeuforward.org/data-structure/pairs-of-songs-with-total-durations-divisible-by-60/" TargetMode="External"/><Relationship Id="rId206" Type="http://schemas.openxmlformats.org/officeDocument/2006/relationships/hyperlink" Target="https://leetcode.com/problems/pairs-of-songs-with-total-durations-divisible-by-60/" TargetMode="External"/><Relationship Id="rId207" Type="http://schemas.openxmlformats.org/officeDocument/2006/relationships/hyperlink" Target="https://www.geeksforgeeks.org/problems/count-pairs-in-array-divisible-by-k/1" TargetMode="External"/><Relationship Id="rId208" Type="http://schemas.openxmlformats.org/officeDocument/2006/relationships/hyperlink" Target="https://www.youtube.com/watch?v=5gHnQ4lfHu8" TargetMode="External"/><Relationship Id="rId209" Type="http://schemas.openxmlformats.org/officeDocument/2006/relationships/hyperlink" Target="https://takeuforward.org/data-structure/continuous-subarray-sum/" TargetMode="External"/><Relationship Id="rId210" Type="http://schemas.openxmlformats.org/officeDocument/2006/relationships/hyperlink" Target="https://leetcode.com/problems/continuous-subarray-sum/" TargetMode="External"/><Relationship Id="rId211" Type="http://schemas.openxmlformats.org/officeDocument/2006/relationships/hyperlink" Target="https://www.geeksforgeeks.org/problems/subarray-sum-divisible-by-k/1" TargetMode="External"/><Relationship Id="rId212" Type="http://schemas.openxmlformats.org/officeDocument/2006/relationships/hyperlink" Target="https://www.youtube.com/watch?v=OKCRyOmT1rk" TargetMode="External"/><Relationship Id="rId213" Type="http://schemas.openxmlformats.org/officeDocument/2006/relationships/hyperlink" Target="https://takeuforward.org/data-structure/find-players-with-zero-or-one-losses/" TargetMode="External"/><Relationship Id="rId214" Type="http://schemas.openxmlformats.org/officeDocument/2006/relationships/hyperlink" Target="https://leetcode.com/problems/find-players-with-zero-or-one-losses/" TargetMode="External"/><Relationship Id="rId215" Type="http://schemas.openxmlformats.org/officeDocument/2006/relationships/hyperlink" Target="https://www.geeksforgeeks.org/problems/find-players-with-zero-or-one-losses/1" TargetMode="External"/><Relationship Id="rId216" Type="http://schemas.openxmlformats.org/officeDocument/2006/relationships/hyperlink" Target="https://www.youtube.com/watch?v=cM_D2Q0_k3c" TargetMode="External"/><Relationship Id="rId217" Type="http://schemas.openxmlformats.org/officeDocument/2006/relationships/hyperlink" Target="https://takeuforward.org/data-structure/equal-row-and-column-pairs/" TargetMode="External"/><Relationship Id="rId218" Type="http://schemas.openxmlformats.org/officeDocument/2006/relationships/hyperlink" Target="https://leetcode.com/problems/equal-row-and-column-pairs/" TargetMode="External"/><Relationship Id="rId219" Type="http://schemas.openxmlformats.org/officeDocument/2006/relationships/hyperlink" Target="https://www.geeksforgeeks.org/problems/equal-row-and-column-pairs/1" TargetMode="External"/><Relationship Id="rId220" Type="http://schemas.openxmlformats.org/officeDocument/2006/relationships/hyperlink" Target="https://www.youtube.com/watch?v=1xN5Aev0aM0" TargetMode="External"/><Relationship Id="rId221" Type="http://schemas.openxmlformats.org/officeDocument/2006/relationships/hyperlink" Target="https://takeuforward.org/data-structure/reverse-a-string/" TargetMode="External"/><Relationship Id="rId222" Type="http://schemas.openxmlformats.org/officeDocument/2006/relationships/hyperlink" Target="https://leetcode.com/problems/reverse-string/" TargetMode="External"/><Relationship Id="rId223" Type="http://schemas.openxmlformats.org/officeDocument/2006/relationships/hyperlink" Target="https://www.geeksforgeeks.org/problems/reverse-a-string/1" TargetMode="External"/><Relationship Id="rId224" Type="http://schemas.openxmlformats.org/officeDocument/2006/relationships/hyperlink" Target="https://www.youtube.com/watch?v=u2-y42cWnKk" TargetMode="External"/><Relationship Id="rId225" Type="http://schemas.openxmlformats.org/officeDocument/2006/relationships/hyperlink" Target="https://takeuforward.org/data-structure/check-if-a-given-string-is-palindrome-or-not/" TargetMode="External"/><Relationship Id="rId226" Type="http://schemas.openxmlformats.org/officeDocument/2006/relationships/hyperlink" Target="https://leetcode.com/problems/valid-palindrome/" TargetMode="External"/><Relationship Id="rId227" Type="http://schemas.openxmlformats.org/officeDocument/2006/relationships/hyperlink" Target="https://www.geeksforgeeks.org/problems/palindrome-string0817/1" TargetMode="External"/><Relationship Id="rId228" Type="http://schemas.openxmlformats.org/officeDocument/2006/relationships/hyperlink" Target="https://www.youtube.com/watch?v=jGQqpO2b6lA" TargetMode="External"/><Relationship Id="rId229" Type="http://schemas.openxmlformats.org/officeDocument/2006/relationships/hyperlink" Target="https://takeuforward.org/data-structure/longest-common-prefix-in-an-array/" TargetMode="External"/><Relationship Id="rId230" Type="http://schemas.openxmlformats.org/officeDocument/2006/relationships/hyperlink" Target="https://leetcode.com/problems/longest-common-prefix/" TargetMode="External"/><Relationship Id="rId231" Type="http://schemas.openxmlformats.org/officeDocument/2006/relationships/hyperlink" Target="https://www.geeksforgeeks.org/problems/longest-common-prefix-in-an-array5129/1" TargetMode="External"/><Relationship Id="rId232" Type="http://schemas.openxmlformats.org/officeDocument/2006/relationships/hyperlink" Target="https://www.youtube.com/watch?v=fhy4us7XJtY" TargetMode="External"/><Relationship Id="rId233" Type="http://schemas.openxmlformats.org/officeDocument/2006/relationships/hyperlink" Target="https://takeuforward.org/data-structure/roman-to-integer/" TargetMode="External"/><Relationship Id="rId234" Type="http://schemas.openxmlformats.org/officeDocument/2006/relationships/hyperlink" Target="https://leetcode.com/problems/roman-to-integer/" TargetMode="External"/><Relationship Id="rId235" Type="http://schemas.openxmlformats.org/officeDocument/2006/relationships/hyperlink" Target="https://www.geeksforgeeks.org/problems/roman-number-to-integer3201/1" TargetMode="External"/><Relationship Id="rId236" Type="http://schemas.openxmlformats.org/officeDocument/2006/relationships/hyperlink" Target="https://www.youtube.com/watch?v=39PZ6-A5m7I" TargetMode="External"/><Relationship Id="rId237" Type="http://schemas.openxmlformats.org/officeDocument/2006/relationships/hyperlink" Target="https://takeuforward.org/data-structure/integer-to-roman/" TargetMode="External"/><Relationship Id="rId238" Type="http://schemas.openxmlformats.org/officeDocument/2006/relationships/hyperlink" Target="https://leetcode.com/problems/integer-to-roman/" TargetMode="External"/><Relationship Id="rId239" Type="http://schemas.openxmlformats.org/officeDocument/2006/relationships/hyperlink" Target="https://www.geeksforgeeks.org/problems/integer-to-roman/1" TargetMode="External"/><Relationship Id="rId240" Type="http://schemas.openxmlformats.org/officeDocument/2006/relationships/hyperlink" Target="https://www.youtube.com/watch?v=Jy2B_Y-1L6o" TargetMode="External"/><Relationship Id="rId241" Type="http://schemas.openxmlformats.org/officeDocument/2006/relationships/hyperlink" Target="https://takeuforward.org/data-structure/reverse-words-in-a-string/" TargetMode="External"/><Relationship Id="rId242" Type="http://schemas.openxmlformats.org/officeDocument/2006/relationships/hyperlink" Target="https://leetcode.com/problems/reverse-words-in-a-string/" TargetMode="External"/><Relationship Id="rId243" Type="http://schemas.openxmlformats.org/officeDocument/2006/relationships/hyperlink" Target="https://www.geeksforgeeks.org/problems/reverse-words-in-a-given-string5428/1" TargetMode="External"/><Relationship Id="rId244" Type="http://schemas.openxmlformats.org/officeDocument/2006/relationships/hyperlink" Target="https://www.youtube.com/watch?v=vhnRAaJZ1SY" TargetMode="External"/><Relationship Id="rId245" Type="http://schemas.openxmlformats.org/officeDocument/2006/relationships/hyperlink" Target="https://takeuforward.org/data-structure/implement-atoi/" TargetMode="External"/><Relationship Id="rId246" Type="http://schemas.openxmlformats.org/officeDocument/2006/relationships/hyperlink" Target="https://leetcode.com/problems/string-to-integer-atoi/" TargetMode="External"/><Relationship Id="rId247" Type="http://schemas.openxmlformats.org/officeDocument/2006/relationships/hyperlink" Target="https://www.geeksforgeeks.org/problems/implement-atoi/1" TargetMode="External"/><Relationship Id="rId248" Type="http://schemas.openxmlformats.org/officeDocument/2006/relationships/hyperlink" Target="https://www.youtube.com/watch?v=Fst481_GZp0" TargetMode="External"/><Relationship Id="rId249" Type="http://schemas.openxmlformats.org/officeDocument/2006/relationships/hyperlink" Target="https://takeuforward.org/data-structure/implement-strstr/" TargetMode="External"/><Relationship Id="rId250" Type="http://schemas.openxmlformats.org/officeDocument/2006/relationships/hyperlink" Target="https://leetcode.com/problems/find-the-index-of-the-first-occurrence-in-a-string/" TargetMode="External"/><Relationship Id="rId251" Type="http://schemas.openxmlformats.org/officeDocument/2006/relationships/hyperlink" Target="https://www.geeksforgeeks.org/problems/implement-strstr/1" TargetMode="External"/><Relationship Id="rId252" Type="http://schemas.openxmlformats.org/officeDocument/2006/relationships/hyperlink" Target="https://www.youtube.com/watch?v=V5-7GzOfADQ" TargetMode="External"/><Relationship Id="rId253" Type="http://schemas.openxmlformats.org/officeDocument/2006/relationships/hyperlink" Target="https://takeuforward.org/data-structure/longest-palindromic-substring/" TargetMode="External"/><Relationship Id="rId254" Type="http://schemas.openxmlformats.org/officeDocument/2006/relationships/hyperlink" Target="https://leetcode.com/problems/longest-palindromic-substring/" TargetMode="External"/><Relationship Id="rId255" Type="http://schemas.openxmlformats.org/officeDocument/2006/relationships/hyperlink" Target="https://www.geeksforgeeks.org/problems/longest-palindrome-in-a-string1902/1" TargetMode="External"/><Relationship Id="rId256" Type="http://schemas.openxmlformats.org/officeDocument/2006/relationships/hyperlink" Target="https://www.youtube.com/watch?v=XYQec150FjM" TargetMode="External"/><Relationship Id="rId257" Type="http://schemas.openxmlformats.org/officeDocument/2006/relationships/hyperlink" Target="https://takeuforward.org/data-structure/palindromic-substrings/" TargetMode="External"/><Relationship Id="rId258" Type="http://schemas.openxmlformats.org/officeDocument/2006/relationships/hyperlink" Target="https://leetcode.com/problems/palindromic-substrings/" TargetMode="External"/><Relationship Id="rId259" Type="http://schemas.openxmlformats.org/officeDocument/2006/relationships/hyperlink" Target="https://www.geeksforgeeks.org/problems/count-palindrome-sub-strings-of-a-string0524/1" TargetMode="External"/><Relationship Id="rId260" Type="http://schemas.openxmlformats.org/officeDocument/2006/relationships/hyperlink" Target="https://www.youtube.com/watch?v=4RACzI5-du8" TargetMode="External"/><Relationship Id="rId261" Type="http://schemas.openxmlformats.org/officeDocument/2006/relationships/hyperlink" Target="https://takeuforward.org/data-structure/parenthesis-checker/" TargetMode="External"/><Relationship Id="rId262" Type="http://schemas.openxmlformats.org/officeDocument/2006/relationships/hyperlink" Target="https://leetcode.com/problems/valid-parentheses/" TargetMode="External"/><Relationship Id="rId263" Type="http://schemas.openxmlformats.org/officeDocument/2006/relationships/hyperlink" Target="https://www.geeksforgeeks.org/problems/parenthesis-checker2744/1" TargetMode="External"/><Relationship Id="rId264" Type="http://schemas.openxmlformats.org/officeDocument/2006/relationships/hyperlink" Target="https://www.youtube.com/watch?v=CcAzJ7h3n84" TargetMode="External"/><Relationship Id="rId265" Type="http://schemas.openxmlformats.org/officeDocument/2006/relationships/hyperlink" Target="https://takeuforward.org/data-structure/generate-parentheses/" TargetMode="External"/><Relationship Id="rId266" Type="http://schemas.openxmlformats.org/officeDocument/2006/relationships/hyperlink" Target="https://leetcode.com/problems/generate-parentheses/" TargetMode="External"/><Relationship Id="rId267" Type="http://schemas.openxmlformats.org/officeDocument/2006/relationships/hyperlink" Target="https://www.geeksforgeeks.org/problems/generate-all-possible-parentheses/1" TargetMode="External"/><Relationship Id="rId268" Type="http://schemas.openxmlformats.org/officeDocument/2006/relationships/hyperlink" Target="https://www.youtube.com/watch?v=s9fokUqJ1hA" TargetMode="External"/><Relationship Id="rId269" Type="http://schemas.openxmlformats.org/officeDocument/2006/relationships/hyperlink" Target="https://takeuforward.org/data-structure/letter-combinations-of-a-phone-number/" TargetMode="External"/><Relationship Id="rId270" Type="http://schemas.openxmlformats.org/officeDocument/2006/relationships/hyperlink" Target="https://leetcode.com/problems/letter-combinations-of-a-phone-number/" TargetMode="External"/><Relationship Id="rId271" Type="http://schemas.openxmlformats.org/officeDocument/2006/relationships/hyperlink" Target="https://www.geeksforgeeks.org/problems/possible-words-from-phone-digits-1587115620/1" TargetMode="External"/><Relationship Id="rId272" Type="http://schemas.openxmlformats.org/officeDocument/2006/relationships/hyperlink" Target="https://www.youtube.com/watch?v=imD5XePaJRI" TargetMode="External"/><Relationship Id="rId273" Type="http://schemas.openxmlformats.org/officeDocument/2006/relationships/hyperlink" Target="https://takeuforward.org/data-structure/compare-version-numbers/" TargetMode="External"/><Relationship Id="rId274" Type="http://schemas.openxmlformats.org/officeDocument/2006/relationships/hyperlink" Target="https://leetcode.com/problems/compare-version-numbers/" TargetMode="External"/><Relationship Id="rId275" Type="http://schemas.openxmlformats.org/officeDocument/2006/relationships/hyperlink" Target="https://www.geeksforgeeks.org/problems/compare-two-version-numbers1744/1" TargetMode="External"/><Relationship Id="rId276" Type="http://schemas.openxmlformats.org/officeDocument/2006/relationships/hyperlink" Target="https://www.youtube.com/watch?v=KM3nuJ1v0Xg" TargetMode="External"/><Relationship Id="rId277" Type="http://schemas.openxmlformats.org/officeDocument/2006/relationships/hyperlink" Target="https://takeuforward.org/data-structure/basic-calculator-ii/" TargetMode="External"/><Relationship Id="rId278" Type="http://schemas.openxmlformats.org/officeDocument/2006/relationships/hyperlink" Target="https://leetcode.com/problems/basic-calculator-ii/" TargetMode="External"/><Relationship Id="rId279" Type="http://schemas.openxmlformats.org/officeDocument/2006/relationships/hyperlink" Target="https://www.geeksforgeeks.org/problems/basic-calculator/1" TargetMode="External"/><Relationship Id="rId280" Type="http://schemas.openxmlformats.org/officeDocument/2006/relationships/hyperlink" Target="https://www.youtube.com/watch?v=2EE84A47E7A" TargetMode="External"/><Relationship Id="rId281" Type="http://schemas.openxmlformats.org/officeDocument/2006/relationships/hyperlink" Target="https://takeuforward.org/data-structure/longest-substring-without-repeating-characters/" TargetMode="External"/><Relationship Id="rId282" Type="http://schemas.openxmlformats.org/officeDocument/2006/relationships/hyperlink" Target="https://leetcode.com/problems/longest-substring-without-repeating-characters/" TargetMode="External"/><Relationship Id="rId283" Type="http://schemas.openxmlformats.org/officeDocument/2006/relationships/hyperlink" Target="https://www.geeksforgeeks.org/problems/longest-distinct-characters-in-string5848/1" TargetMode="External"/><Relationship Id="rId284" Type="http://schemas.openxmlformats.org/officeDocument/2006/relationships/hyperlink" Target="https://www.youtube.com/watch?v=qtVh-XEpsJo" TargetMode="External"/><Relationship Id="rId285" Type="http://schemas.openxmlformats.org/officeDocument/2006/relationships/hyperlink" Target="https://takeuforward.org/data-structure/multiply-strings/" TargetMode="External"/><Relationship Id="rId286" Type="http://schemas.openxmlformats.org/officeDocument/2006/relationships/hyperlink" Target="https://leetcode.com/problems/multiply-strings/" TargetMode="External"/><Relationship Id="rId287" Type="http://schemas.openxmlformats.org/officeDocument/2006/relationships/hyperlink" Target="https://www.geeksforgeeks.org/problems/multiply-two-strings/1" TargetMode="External"/><Relationship Id="rId288" Type="http://schemas.openxmlformats.org/officeDocument/2006/relationships/hyperlink" Target="https://www.youtube.com/watch?v=5Nvh6skW2bQ" TargetMode="External"/><Relationship Id="rId289" Type="http://schemas.openxmlformats.org/officeDocument/2006/relationships/hyperlink" Target="https://takeuforward.org/data-structure/simplify-path/" TargetMode="External"/><Relationship Id="rId290" Type="http://schemas.openxmlformats.org/officeDocument/2006/relationships/hyperlink" Target="https://leetcode.com/problems/simplify-path/" TargetMode="External"/><Relationship Id="rId291" Type="http://schemas.openxmlformats.org/officeDocument/2006/relationships/hyperlink" Target="https://www.geeksforgeeks.org/problems/simplify-path/1" TargetMode="External"/><Relationship Id="rId292" Type="http://schemas.openxmlformats.org/officeDocument/2006/relationships/hyperlink" Target="https://www.youtube.com/watch?v=qYlHrAKcRyA" TargetMode="External"/><Relationship Id="rId293" Type="http://schemas.openxmlformats.org/officeDocument/2006/relationships/hyperlink" Target="https://takeuforward.org/data-structure/minimum-window-substring/" TargetMode="External"/><Relationship Id="rId294" Type="http://schemas.openxmlformats.org/officeDocument/2006/relationships/hyperlink" Target="https://leetcode.com/problems/minimum-window-substring/" TargetMode="External"/><Relationship Id="rId295" Type="http://schemas.openxmlformats.org/officeDocument/2006/relationships/hyperlink" Target="https://www.geeksforgeeks.org/problems/smallest-window-in-a-string-containing-all-the-characters-of-another-string-1587115621/1" TargetMode="External"/><Relationship Id="rId296" Type="http://schemas.openxmlformats.org/officeDocument/2006/relationships/hyperlink" Target="https://www.youtube.com/watch?v=3Xy208scElc" TargetMode="External"/><Relationship Id="rId297" Type="http://schemas.openxmlformats.org/officeDocument/2006/relationships/hyperlink" Target="https://takeuforward.org/data-structure/substrings-with-k-distinct-characters/" TargetMode="External"/><Relationship Id="rId298" Type="http://schemas.openxmlformats.org/officeDocument/2006/relationships/hyperlink" Target="https://leetcode.com/problems/subarrays-with-k-different-integers/" TargetMode="External"/><Relationship Id="rId299" Type="http://schemas.openxmlformats.org/officeDocument/2006/relationships/hyperlink" Target="https://www.geeksforgeeks.org/problems/substrings-with-k-distinct-characters/1" TargetMode="External"/><Relationship Id="rId300" Type="http://schemas.openxmlformats.org/officeDocument/2006/relationships/hyperlink" Target="https://www.youtube.com/watch?v=akwRFY2eL0Y" TargetMode="External"/><Relationship Id="rId301" Type="http://schemas.openxmlformats.org/officeDocument/2006/relationships/hyperlink" Target="https://takeuforward.org/data-structure/binary-search-explained/" TargetMode="External"/><Relationship Id="rId302" Type="http://schemas.openxmlformats.org/officeDocument/2006/relationships/hyperlink" Target="https://leetcode.com/problems/binary-search/" TargetMode="External"/><Relationship Id="rId303" Type="http://schemas.openxmlformats.org/officeDocument/2006/relationships/hyperlink" Target="https://www.geeksforgeeks.org/problems/binary-search-1587115620/1" TargetMode="External"/><Relationship Id="rId304" Type="http://schemas.openxmlformats.org/officeDocument/2006/relationships/hyperlink" Target="https://www.youtube.com/watch?v=C2apEw9pgtw" TargetMode="External"/><Relationship Id="rId305" Type="http://schemas.openxmlformats.org/officeDocument/2006/relationships/hyperlink" Target="https://takeuforward.org/data-structure/search-insert-position/" TargetMode="External"/><Relationship Id="rId306" Type="http://schemas.openxmlformats.org/officeDocument/2006/relationships/hyperlink" Target="https://leetcode.com/problems/search-insert-position/" TargetMode="External"/><Relationship Id="rId307" Type="http://schemas.openxmlformats.org/officeDocument/2006/relationships/hyperlink" Target="https://www.geeksforgeeks.org/problems/search-insert-position-of-k-in-a-sorted-array/1" TargetMode="External"/><Relationship Id="rId308" Type="http://schemas.openxmlformats.org/officeDocument/2006/relationships/hyperlink" Target="https://www.youtube.com/watch?v=6zhGSyjfJT0" TargetMode="External"/><Relationship Id="rId309" Type="http://schemas.openxmlformats.org/officeDocument/2006/relationships/hyperlink" Target="https://takeuforward.org/data-structure/first-and-last-occurrence-of-a-number-in-a-sorted-array/" TargetMode="External"/><Relationship Id="rId310" Type="http://schemas.openxmlformats.org/officeDocument/2006/relationships/hyperlink" Target="https://leetcode.com/problems/find-first-and-last-position-of-element-in-sorted-array/" TargetMode="External"/><Relationship Id="rId311" Type="http://schemas.openxmlformats.org/officeDocument/2006/relationships/hyperlink" Target="https://www.geeksforgeeks.org/problems/first-and-last-occurrences-of-x3113/1" TargetMode="External"/><Relationship Id="rId312" Type="http://schemas.openxmlformats.org/officeDocument/2006/relationships/hyperlink" Target="https://www.youtube.com/watch?v=hF1eS8GfE5I" TargetMode="External"/><Relationship Id="rId313" Type="http://schemas.openxmlformats.org/officeDocument/2006/relationships/hyperlink" Target="https://takeuforward.org/data-structure/search-in-rotated-sorted-array-i/" TargetMode="External"/><Relationship Id="rId314" Type="http://schemas.openxmlformats.org/officeDocument/2006/relationships/hyperlink" Target="https://leetcode.com/problems/search-in-rotated-sorted-array/" TargetMode="External"/><Relationship Id="rId315" Type="http://schemas.openxmlformats.org/officeDocument/2006/relationships/hyperlink" Target="https://www.geeksforgeeks.org/problems/search-in-a-rotated-array4618/1" TargetMode="External"/><Relationship Id="rId316" Type="http://schemas.openxmlformats.org/officeDocument/2006/relationships/hyperlink" Target="https://www.youtube.com/watch?v=5qGrJbH7RKo" TargetMode="External"/><Relationship Id="rId317" Type="http://schemas.openxmlformats.org/officeDocument/2006/relationships/hyperlink" Target="https://takeuforward.org/data-structure/search-in-a-rotated-sorted-array-ii/" TargetMode="External"/><Relationship Id="rId318" Type="http://schemas.openxmlformats.org/officeDocument/2006/relationships/hyperlink" Target="https://leetcode.com/problems/search-in-rotated-sorted-array-ii/" TargetMode="External"/><Relationship Id="rId319" Type="http://schemas.openxmlformats.org/officeDocument/2006/relationships/hyperlink" Target="https://www.geeksforgeeks.org/problems/search-in-a-rotated-array-ii/1" TargetMode="External"/><Relationship Id="rId320" Type="http://schemas.openxmlformats.org/officeDocument/2006/relationships/hyperlink" Target="https://www.youtube.com/watch?v=oY5JDHSzfYk" TargetMode="External"/><Relationship Id="rId321" Type="http://schemas.openxmlformats.org/officeDocument/2006/relationships/hyperlink" Target="https://takeuforward.org/data-structure/find-minimum-in-rotated-sorted-array/" TargetMode="External"/><Relationship Id="rId322" Type="http://schemas.openxmlformats.org/officeDocument/2006/relationships/hyperlink" Target="https://leetcode.com/problems/find-min-in-rotated-sorted-array/" TargetMode="External"/><Relationship Id="rId323" Type="http://schemas.openxmlformats.org/officeDocument/2006/relationships/hyperlink" Target="https://www.geeksforgeeks.org/problems/minimum-element-in-a-sorted-and-rotated-array3611/1" TargetMode="External"/><Relationship Id="rId324" Type="http://schemas.openxmlformats.org/officeDocument/2006/relationships/hyperlink" Target="https://www.youtube.com/watch?v=nhEMDKMB44g" TargetMode="External"/><Relationship Id="rId325" Type="http://schemas.openxmlformats.org/officeDocument/2006/relationships/hyperlink" Target="https://takeuforward.org/data-structure/find-the-element-that-appears-once-in-a-sorted-array/" TargetMode="External"/><Relationship Id="rId326" Type="http://schemas.openxmlformats.org/officeDocument/2006/relationships/hyperlink" Target="https://leetcode.com/problems/single-element-in-a-sorted-array/" TargetMode="External"/><Relationship Id="rId327" Type="http://schemas.openxmlformats.org/officeDocument/2006/relationships/hyperlink" Target="https://www.geeksforgeeks.org/problems/find-the-element-that-appears-once-in-sorted-array0622/1" TargetMode="External"/><Relationship Id="rId328" Type="http://schemas.openxmlformats.org/officeDocument/2006/relationships/hyperlink" Target="https://www.youtube.com/watch?v=AZOmHuPgCoI" TargetMode="External"/><Relationship Id="rId329" Type="http://schemas.openxmlformats.org/officeDocument/2006/relationships/hyperlink" Target="https://takeuforward.org/data-structure/find-peak-element/" TargetMode="External"/><Relationship Id="rId330" Type="http://schemas.openxmlformats.org/officeDocument/2006/relationships/hyperlink" Target="https://leetcode.com/problems/find-peak-element/" TargetMode="External"/><Relationship Id="rId331" Type="http://schemas.openxmlformats.org/officeDocument/2006/relationships/hyperlink" Target="https://www.geeksforgeeks.org/problems/find-the-highest-number5547/1" TargetMode="External"/><Relationship Id="rId332" Type="http://schemas.openxmlformats.org/officeDocument/2006/relationships/hyperlink" Target="https://www.youtube.com/watch?v=cXxmbemS6XM" TargetMode="External"/><Relationship Id="rId333" Type="http://schemas.openxmlformats.org/officeDocument/2006/relationships/hyperlink" Target="https://takeuforward.org/data-structure/search-in-a-sorted-2d-matrix/" TargetMode="External"/><Relationship Id="rId334" Type="http://schemas.openxmlformats.org/officeDocument/2006/relationships/hyperlink" Target="https://leetcode.com/problems/search-a-2d-matrix/" TargetMode="External"/><Relationship Id="rId335" Type="http://schemas.openxmlformats.org/officeDocument/2006/relationships/hyperlink" Target="https://www.geeksforgeeks.org/problems/search-in-a-matrix-1587115621/1" TargetMode="External"/><Relationship Id="rId336" Type="http://schemas.openxmlformats.org/officeDocument/2006/relationships/hyperlink" Target="https://www.youtube.com/watch?v=JXU4LkCl7RY" TargetMode="External"/><Relationship Id="rId337" Type="http://schemas.openxmlformats.org/officeDocument/2006/relationships/hyperlink" Target="https://takeuforward.org/data-structure/search-in-a-row-and-column-wise-sorted-matrix/" TargetMode="External"/><Relationship Id="rId338" Type="http://schemas.openxmlformats.org/officeDocument/2006/relationships/hyperlink" Target="https://leetcode.com/problems/search-a-2d-matrix-ii/" TargetMode="External"/><Relationship Id="rId339" Type="http://schemas.openxmlformats.org/officeDocument/2006/relationships/hyperlink" Target="https://www.geeksforgeeks.org/problems/search-in-a-matrix1612/1" TargetMode="External"/><Relationship Id="rId340" Type="http://schemas.openxmlformats.org/officeDocument/2006/relationships/hyperlink" Target="https://www.youtube.com/watch?v=9GbXM5EySgs" TargetMode="External"/><Relationship Id="rId341" Type="http://schemas.openxmlformats.org/officeDocument/2006/relationships/hyperlink" Target="https://takeuforward.org/data-structure/finding-sqrt-of-a-number-using-binary-search/" TargetMode="External"/><Relationship Id="rId342" Type="http://schemas.openxmlformats.org/officeDocument/2006/relationships/hyperlink" Target="https://leetcode.com/problems/sqrtx/" TargetMode="External"/><Relationship Id="rId343" Type="http://schemas.openxmlformats.org/officeDocument/2006/relationships/hyperlink" Target="https://www.geeksforgeeks.org/problems/square-root/1" TargetMode="External"/><Relationship Id="rId344" Type="http://schemas.openxmlformats.org/officeDocument/2006/relationships/hyperlink" Target="https://www.youtube.com/watch?v=Bsv3F827xsY" TargetMode="External"/><Relationship Id="rId345" Type="http://schemas.openxmlformats.org/officeDocument/2006/relationships/hyperlink" Target="https://takeuforward.org/data-structure/nth-root-of-a-number-using-binary-search/" TargetMode="External"/><Relationship Id="rId346" Type="http://schemas.openxmlformats.org/officeDocument/2006/relationships/hyperlink" Target="https://leetcode.com/problems/powx-n/" TargetMode="External"/><Relationship Id="rId347" Type="http://schemas.openxmlformats.org/officeDocument/2006/relationships/hyperlink" Target="https://www.geeksforgeeks.org/problems/find-nth-root-of-m5843/1" TargetMode="External"/><Relationship Id="rId348" Type="http://schemas.openxmlformats.org/officeDocument/2006/relationships/hyperlink" Target="https://www.youtube.com/watch?v=rjEJeYCasHs" TargetMode="External"/><Relationship Id="rId349" Type="http://schemas.openxmlformats.org/officeDocument/2006/relationships/hyperlink" Target="https://takeuforward.org/data-structure/koko-eating-bananas/" TargetMode="External"/><Relationship Id="rId350" Type="http://schemas.openxmlformats.org/officeDocument/2006/relationships/hyperlink" Target="https://leetcode.com/problems/koko-eating-bananas/" TargetMode="External"/><Relationship Id="rId351" Type="http://schemas.openxmlformats.org/officeDocument/2006/relationships/hyperlink" Target="https://www.geeksforgeeks.org/problems/koko-eating-bananas/1" TargetMode="External"/><Relationship Id="rId352" Type="http://schemas.openxmlformats.org/officeDocument/2006/relationships/hyperlink" Target="https://www.youtube.com/watch?v=qyfekt1wp78" TargetMode="External"/><Relationship Id="rId353" Type="http://schemas.openxmlformats.org/officeDocument/2006/relationships/hyperlink" Target="https://takeuforward.org/data-structure/minimum-days-to-make-m-bouquets/" TargetMode="External"/><Relationship Id="rId354" Type="http://schemas.openxmlformats.org/officeDocument/2006/relationships/hyperlink" Target="https://leetcode.com/problems/minimum-number-of-days-to-make-m-bouquets/" TargetMode="External"/><Relationship Id="rId355" Type="http://schemas.openxmlformats.org/officeDocument/2006/relationships/hyperlink" Target="https://www.geeksforgeeks.org/problems/minimum-days-to-make-m-bouquets/1" TargetMode="External"/><Relationship Id="rId356" Type="http://schemas.openxmlformats.org/officeDocument/2006/relationships/hyperlink" Target="https://www.youtube.com/watch?v=TXAuxeYBTdg" TargetMode="External"/><Relationship Id="rId357" Type="http://schemas.openxmlformats.org/officeDocument/2006/relationships/hyperlink" Target="https://takeuforward.org/data-structure/find-the-smallest-divisor-given-a-threshold/" TargetMode="External"/><Relationship Id="rId358" Type="http://schemas.openxmlformats.org/officeDocument/2006/relationships/hyperlink" Target="https://leetcode.com/problems/find-the-smallest-divisor-given-a-threshold/" TargetMode="External"/><Relationship Id="rId359" Type="http://schemas.openxmlformats.org/officeDocument/2006/relationships/hyperlink" Target="https://www.geeksforgeeks.org/problems/smallest-divisor/1" TargetMode="External"/><Relationship Id="rId360" Type="http://schemas.openxmlformats.org/officeDocument/2006/relationships/hyperlink" Target="https://www.youtube.com/watch?v=UvBKTVnF8U4" TargetMode="External"/><Relationship Id="rId361" Type="http://schemas.openxmlformats.org/officeDocument/2006/relationships/hyperlink" Target="https://takeuforward.org/data-structure/capacity-to-ship-packages-within-d-days/" TargetMode="External"/><Relationship Id="rId362" Type="http://schemas.openxmlformats.org/officeDocument/2006/relationships/hyperlink" Target="https://leetcode.com/problems/capacity-to-ship-packages-within-d-days/" TargetMode="External"/><Relationship Id="rId363" Type="http://schemas.openxmlformats.org/officeDocument/2006/relationships/hyperlink" Target="https://www.geeksforgeeks.org/problems/capacity-to-ship-packages-within-d-days/1" TargetMode="External"/><Relationship Id="rId364" Type="http://schemas.openxmlformats.org/officeDocument/2006/relationships/hyperlink" Target="https://www.youtube.com/watch?v=1w4-rZhP7BM" TargetMode="External"/><Relationship Id="rId365" Type="http://schemas.openxmlformats.org/officeDocument/2006/relationships/hyperlink" Target="https://takeuforward.org/data-structure/kth-missing-positive-number/" TargetMode="External"/><Relationship Id="rId366" Type="http://schemas.openxmlformats.org/officeDocument/2006/relationships/hyperlink" Target="https://leetcode.com/problems/kth-missing-positive-number/" TargetMode="External"/><Relationship Id="rId367" Type="http://schemas.openxmlformats.org/officeDocument/2006/relationships/hyperlink" Target="https://www.geeksforgeeks.org/problems/kth-missing-positive-number-in-a-sorted-array/1" TargetMode="External"/><Relationship Id="rId368" Type="http://schemas.openxmlformats.org/officeDocument/2006/relationships/hyperlink" Target="https://www.youtube.com/watch?v=uZ0N_hSnHsA" TargetMode="External"/><Relationship Id="rId369" Type="http://schemas.openxmlformats.org/officeDocument/2006/relationships/hyperlink" Target="https://takeuforward.org/data-structure/aggressive-cows/" TargetMode="External"/><Relationship Id="rId370" Type="http://schemas.openxmlformats.org/officeDocument/2006/relationships/hyperlink" Target="https://leetcode.com/problems/magnetic-force-between-two-balls/" TargetMode="External"/><Relationship Id="rId371" Type="http://schemas.openxmlformats.org/officeDocument/2006/relationships/hyperlink" Target="https://www.geeksforgeeks.org/problems/aggressive-cows/1" TargetMode="External"/><Relationship Id="rId372" Type="http://schemas.openxmlformats.org/officeDocument/2006/relationships/hyperlink" Target="https://www.youtube.com/watch?v=R_M5MewAyiY" TargetMode="External"/><Relationship Id="rId373" Type="http://schemas.openxmlformats.org/officeDocument/2006/relationships/hyperlink" Target="https://takeuforward.org/data-structure/allocate-minimum-number-of-pages/" TargetMode="External"/><Relationship Id="rId374" Type="http://schemas.openxmlformats.org/officeDocument/2006/relationships/hyperlink" Target="https://leetcode.com/problems/split-array-largest-sum/" TargetMode="External"/><Relationship Id="rId375" Type="http://schemas.openxmlformats.org/officeDocument/2006/relationships/hyperlink" Target="https://www.geeksforgeeks.org/problems/allocate-minimum-number-of-pages0937/1" TargetMode="External"/><Relationship Id="rId376" Type="http://schemas.openxmlformats.org/officeDocument/2006/relationships/hyperlink" Target="https://www.youtube.com/watch?v=gYmI6DGvFOM" TargetMode="External"/><Relationship Id="rId377" Type="http://schemas.openxmlformats.org/officeDocument/2006/relationships/hyperlink" Target="https://takeuforward.org/data-structure/split-array-largest-sum/" TargetMode="External"/><Relationship Id="rId378" Type="http://schemas.openxmlformats.org/officeDocument/2006/relationships/hyperlink" Target="https://leetcode.com/problems/split-array-largest-sum/" TargetMode="External"/><Relationship Id="rId379" Type="http://schemas.openxmlformats.org/officeDocument/2006/relationships/hyperlink" Target="https://www.geeksforgeeks.org/problems/split-array-largest-sum/1" TargetMode="External"/><Relationship Id="rId380" Type="http://schemas.openxmlformats.org/officeDocument/2006/relationships/hyperlink" Target="https://www.youtube.com/watch?v=gYmI6DGvFOM" TargetMode="External"/><Relationship Id="rId381" Type="http://schemas.openxmlformats.org/officeDocument/2006/relationships/hyperlink" Target="https://takeuforward.org/data-structure/painters-partition-problem/" TargetMode="External"/><Relationship Id="rId382" Type="http://schemas.openxmlformats.org/officeDocument/2006/relationships/hyperlink" Target="https://leetcode.com/problems/split-array-largest-sum/" TargetMode="External"/><Relationship Id="rId383" Type="http://schemas.openxmlformats.org/officeDocument/2006/relationships/hyperlink" Target="https://www.geeksforgeeks.org/problems/the-painters-partition-problem1353/1" TargetMode="External"/><Relationship Id="rId384" Type="http://schemas.openxmlformats.org/officeDocument/2006/relationships/hyperlink" Target="https://www.youtube.com/watch?v=gYmI6DGvFOM" TargetMode="External"/><Relationship Id="rId385" Type="http://schemas.openxmlformats.org/officeDocument/2006/relationships/hyperlink" Target="https://takeuforward.org/data-structure/median-of-row-wise-sorted-matrix/" TargetMode="External"/><Relationship Id="rId386" Type="http://schemas.openxmlformats.org/officeDocument/2006/relationships/hyperlink" Target="https://leetcode.com/problems/median-of-two-sorted-arrays/" TargetMode="External"/><Relationship Id="rId387" Type="http://schemas.openxmlformats.org/officeDocument/2006/relationships/hyperlink" Target="https://www.geeksforgeeks.org/problems/median-in-a-row-wise-sorted-matrix1527/1" TargetMode="External"/><Relationship Id="rId388" Type="http://schemas.openxmlformats.org/officeDocument/2006/relationships/hyperlink" Target="https://www.youtube.com/watch?v=63fP14fPXd0" TargetMode="External"/><Relationship Id="rId389" Type="http://schemas.openxmlformats.org/officeDocument/2006/relationships/hyperlink" Target="https://takeuforward.org/data-structure/find-peak-element-2d-matrix/" TargetMode="External"/><Relationship Id="rId390" Type="http://schemas.openxmlformats.org/officeDocument/2006/relationships/hyperlink" Target="https://leetcode.com/problems/find-a-peak-element-ii/" TargetMode="External"/><Relationship Id="rId391" Type="http://schemas.openxmlformats.org/officeDocument/2006/relationships/hyperlink" Target="https://www.geeksforgeeks.org/problems/find-peak-element-ii/1" TargetMode="External"/><Relationship Id="rId392" Type="http://schemas.openxmlformats.org/officeDocument/2006/relationships/hyperlink" Target="https://www.youtube.com/watch?v=nGGp5Xe9nyg" TargetMode="External"/><Relationship Id="rId393" Type="http://schemas.openxmlformats.org/officeDocument/2006/relationships/hyperlink" Target="https://takeuforward.org/data-structure/k-th-element-of-two-sorted-arrays/" TargetMode="External"/><Relationship Id="rId394" Type="http://schemas.openxmlformats.org/officeDocument/2006/relationships/hyperlink" Target="https://leetcode.com/problems/median-of-two-sorted-arrays/" TargetMode="External"/><Relationship Id="rId395" Type="http://schemas.openxmlformats.org/officeDocument/2006/relationships/hyperlink" Target="https://www.geeksforgeeks.org/problems/k-th-element-of-two-sorted-array1317/1" TargetMode="External"/><Relationship Id="rId396" Type="http://schemas.openxmlformats.org/officeDocument/2006/relationships/hyperlink" Target="https://www.youtube.com/watch?v=nv7F4PiLUzo" TargetMode="External"/><Relationship Id="rId397" Type="http://schemas.openxmlformats.org/officeDocument/2006/relationships/hyperlink" Target="https://takeuforward.org/data-structure/minimize-max-distance-to-gas-station/" TargetMode="External"/><Relationship Id="rId398" Type="http://schemas.openxmlformats.org/officeDocument/2006/relationships/hyperlink" Target="https://leetcode.com/problems/minimize-max-distance-to-gas-station/" TargetMode="External"/><Relationship Id="rId399" Type="http://schemas.openxmlformats.org/officeDocument/2006/relationships/hyperlink" Target="https://www.geeksforgeeks.org/problems/minimize-max-distance-to-gas-station/1" TargetMode="External"/><Relationship Id="rId400" Type="http://schemas.openxmlformats.org/officeDocument/2006/relationships/hyperlink" Target="https://www.youtube.com/watch?v=kMSBvlZ-_HA" TargetMode="External"/><Relationship Id="rId401" Type="http://schemas.openxmlformats.org/officeDocument/2006/relationships/hyperlink" Target="https://takeuforward.org/data-structure/maximum-sum-subarray-of-size-k/" TargetMode="External"/><Relationship Id="rId402" Type="http://schemas.openxmlformats.org/officeDocument/2006/relationships/hyperlink" Target="https://leetcode.com/problems/maximum-average-subarray-i/" TargetMode="External"/><Relationship Id="rId403" Type="http://schemas.openxmlformats.org/officeDocument/2006/relationships/hyperlink" Target="https://www.geeksforgeeks.org/problems/max-sum-subarray-of-size-k5313/1" TargetMode="External"/><Relationship Id="rId404" Type="http://schemas.openxmlformats.org/officeDocument/2006/relationships/hyperlink" Target="https://www.youtube.com/watch?v=FRgK2Vki1kU" TargetMode="External"/><Relationship Id="rId405" Type="http://schemas.openxmlformats.org/officeDocument/2006/relationships/hyperlink" Target="https://takeuforward.org/data-structure/longest-substring-without-repeating-characters/" TargetMode="External"/><Relationship Id="rId406" Type="http://schemas.openxmlformats.org/officeDocument/2006/relationships/hyperlink" Target="https://leetcode.com/problems/longest-substring-without-repeating-characters/" TargetMode="External"/><Relationship Id="rId407" Type="http://schemas.openxmlformats.org/officeDocument/2006/relationships/hyperlink" Target="https://www.geeksforgeeks.org/problems/longest-distinct-characters-in-string5848/1" TargetMode="External"/><Relationship Id="rId408" Type="http://schemas.openxmlformats.org/officeDocument/2006/relationships/hyperlink" Target="https://www.youtube.com/watch?v=qtVh-XEpsJo" TargetMode="External"/><Relationship Id="rId409" Type="http://schemas.openxmlformats.org/officeDocument/2006/relationships/hyperlink" Target="https://takeuforward.org/data-structure/longest-repeating-character-replacement/" TargetMode="External"/><Relationship Id="rId410" Type="http://schemas.openxmlformats.org/officeDocument/2006/relationships/hyperlink" Target="https://leetcode.com/problems/longest-repeating-character-replacement/" TargetMode="External"/><Relationship Id="rId411" Type="http://schemas.openxmlformats.org/officeDocument/2006/relationships/hyperlink" Target="https://www.geeksforgeeks.org/problems/longest-repeating-character-replacement/1" TargetMode="External"/><Relationship Id="rId412" Type="http://schemas.openxmlformats.org/officeDocument/2006/relationships/hyperlink" Target="https://www.youtube.com/watch?v=gqXU1UyA8pk" TargetMode="External"/><Relationship Id="rId413" Type="http://schemas.openxmlformats.org/officeDocument/2006/relationships/hyperlink" Target="https://takeuforward.org/data-structure/minimum-window-substring/" TargetMode="External"/><Relationship Id="rId414" Type="http://schemas.openxmlformats.org/officeDocument/2006/relationships/hyperlink" Target="https://leetcode.com/problems/minimum-window-substring/" TargetMode="External"/><Relationship Id="rId415" Type="http://schemas.openxmlformats.org/officeDocument/2006/relationships/hyperlink" Target="https://www.geeksforgeeks.org/problems/smallest-window-in-a-string-containing-all-the-characters-of-another-string-1587115621/1" TargetMode="External"/><Relationship Id="rId416" Type="http://schemas.openxmlformats.org/officeDocument/2006/relationships/hyperlink" Target="https://www.youtube.com/watch?v=3Xy208scElc" TargetMode="External"/><Relationship Id="rId417" Type="http://schemas.openxmlformats.org/officeDocument/2006/relationships/hyperlink" Target="https://takeuforward.org/data-structure/sliding-window-maximum/" TargetMode="External"/><Relationship Id="rId418" Type="http://schemas.openxmlformats.org/officeDocument/2006/relationships/hyperlink" Target="https://leetcode.com/problems/sliding-window-maximum/" TargetMode="External"/><Relationship Id="rId419" Type="http://schemas.openxmlformats.org/officeDocument/2006/relationships/hyperlink" Target="https://www.geeksforgeeks.org/problems/maximum-of-all-subarrays-of-size-k3101/1" TargetMode="External"/><Relationship Id="rId420" Type="http://schemas.openxmlformats.org/officeDocument/2006/relationships/hyperlink" Target="https://www.youtube.com/watch?v=CZQrKoB5yS0" TargetMode="External"/><Relationship Id="rId421" Type="http://schemas.openxmlformats.org/officeDocument/2006/relationships/hyperlink" Target="https://takeuforward.org/data-structure/permutation-in-string/" TargetMode="External"/><Relationship Id="rId422" Type="http://schemas.openxmlformats.org/officeDocument/2006/relationships/hyperlink" Target="https://leetcode.com/problems/permutation-in-string/" TargetMode="External"/><Relationship Id="rId423" Type="http://schemas.openxmlformats.org/officeDocument/2006/relationships/hyperlink" Target="https://www.geeksforgeeks.org/problems/permutation-in-string/1" TargetMode="External"/><Relationship Id="rId424" Type="http://schemas.openxmlformats.org/officeDocument/2006/relationships/hyperlink" Target="https://www.youtube.com/watch?v=COavyURm3GA" TargetMode="External"/><Relationship Id="rId425" Type="http://schemas.openxmlformats.org/officeDocument/2006/relationships/hyperlink" Target="https://takeuforward.org/data-structure/find-all-anagrams-in-a-string/" TargetMode="External"/><Relationship Id="rId426" Type="http://schemas.openxmlformats.org/officeDocument/2006/relationships/hyperlink" Target="https://leetcode.com/problems/find-all-anagrams-in-a-string/" TargetMode="External"/><Relationship Id="rId427" Type="http://schemas.openxmlformats.org/officeDocument/2006/relationships/hyperlink" Target="https://www.geeksforgeeks.org/problems/count-occurences-of-anagrams6222/1" TargetMode="External"/><Relationship Id="rId428" Type="http://schemas.openxmlformats.org/officeDocument/2006/relationships/hyperlink" Target="https://www.youtube.com/watch?v=tC32HyV1OIs" TargetMode="External"/><Relationship Id="rId429" Type="http://schemas.openxmlformats.org/officeDocument/2006/relationships/hyperlink" Target="https://takeuforward.org/data-structure/minimum-size-subarray-sum/" TargetMode="External"/><Relationship Id="rId430" Type="http://schemas.openxmlformats.org/officeDocument/2006/relationships/hyperlink" Target="https://leetcode.com/problems/minimum-size-subarray-sum/" TargetMode="External"/><Relationship Id="rId431" Type="http://schemas.openxmlformats.org/officeDocument/2006/relationships/hyperlink" Target="https://www.geeksforgeeks.org/problems/minimum-size-subarray-sum/1" TargetMode="External"/><Relationship Id="rId432" Type="http://schemas.openxmlformats.org/officeDocument/2006/relationships/hyperlink" Target="https://www.youtube.com/watch?v=jKF9AcyBZ1k" TargetMode="External"/><Relationship Id="rId433" Type="http://schemas.openxmlformats.org/officeDocument/2006/relationships/hyperlink" Target="https://takeuforward.org/data-structure/fruit-into-baskets/" TargetMode="External"/><Relationship Id="rId434" Type="http://schemas.openxmlformats.org/officeDocument/2006/relationships/hyperlink" Target="https://leetcode.com/problems/fruit-into-baskets/" TargetMode="External"/><Relationship Id="rId435" Type="http://schemas.openxmlformats.org/officeDocument/2006/relationships/hyperlink" Target="https://www.geeksforgeeks.org/problems/fruit-into-baskets/1" TargetMode="External"/><Relationship Id="rId436" Type="http://schemas.openxmlformats.org/officeDocument/2006/relationships/hyperlink" Target="https://www.youtube.com/watch?v=za2YuucS0tw" TargetMode="External"/><Relationship Id="rId437" Type="http://schemas.openxmlformats.org/officeDocument/2006/relationships/hyperlink" Target="https://takeuforward.org/data-structure/max-consecutive-ones-iii/" TargetMode="External"/><Relationship Id="rId438" Type="http://schemas.openxmlformats.org/officeDocument/2006/relationships/hyperlink" Target="https://leetcode.com/problems/max-consecutive-ones-iii/" TargetMode="External"/><Relationship Id="rId439" Type="http://schemas.openxmlformats.org/officeDocument/2006/relationships/hyperlink" Target="https://www.geeksforgeeks.org/problems/max-consecutive-ones-iii/1" TargetMode="External"/><Relationship Id="rId440" Type="http://schemas.openxmlformats.org/officeDocument/2006/relationships/hyperlink" Target="https://www.youtube.com/watch?v=48ae8JKg8Ms" TargetMode="External"/><Relationship Id="rId441" Type="http://schemas.openxmlformats.org/officeDocument/2006/relationships/hyperlink" Target="https://takeuforward.org/data-structure/longest-substring-with-at-most-k-distinct-characters/" TargetMode="External"/><Relationship Id="rId442" Type="http://schemas.openxmlformats.org/officeDocument/2006/relationships/hyperlink" Target="https://leetcode.com/problems/longest-substring-with-at-most-k-distinct-characters/" TargetMode="External"/><Relationship Id="rId443" Type="http://schemas.openxmlformats.org/officeDocument/2006/relationships/hyperlink" Target="https://www.geeksforgeeks.org/problems/longest-substring-with-at-most-k-distinct-characters/1" TargetMode="External"/><Relationship Id="rId444" Type="http://schemas.openxmlformats.org/officeDocument/2006/relationships/hyperlink" Target="https://www.youtube.com/watch?v=uReT2F7t-gI" TargetMode="External"/><Relationship Id="rId445" Type="http://schemas.openxmlformats.org/officeDocument/2006/relationships/hyperlink" Target="https://takeuforward.org/data-structure/binary-subarrays-with-sum/" TargetMode="External"/><Relationship Id="rId446" Type="http://schemas.openxmlformats.org/officeDocument/2006/relationships/hyperlink" Target="https://leetcode.com/problems/binary-subarrays-with-sum/" TargetMode="External"/><Relationship Id="rId447" Type="http://schemas.openxmlformats.org/officeDocument/2006/relationships/hyperlink" Target="https://www.geeksforgeeks.org/problems/binary-subarrays-with-sum/1" TargetMode="External"/><Relationship Id="rId448" Type="http://schemas.openxmlformats.org/officeDocument/2006/relationships/hyperlink" Target="https://www.youtube.com/watch?v=XnmdL7c1NJo" TargetMode="External"/><Relationship Id="rId449" Type="http://schemas.openxmlformats.org/officeDocument/2006/relationships/hyperlink" Target="https://takeuforward.org/data-structure/count-number-of-nice-subarrays/" TargetMode="External"/><Relationship Id="rId450" Type="http://schemas.openxmlformats.org/officeDocument/2006/relationships/hyperlink" Target="https://leetcode.com/problems/count-number-of-nice-subarrays/" TargetMode="External"/><Relationship Id="rId451" Type="http://schemas.openxmlformats.org/officeDocument/2006/relationships/hyperlink" Target="https://www.geeksforgeeks.org/problems/count-number-of-nice-subarrays/1" TargetMode="External"/><Relationship Id="rId452" Type="http://schemas.openxmlformats.org/officeDocument/2006/relationships/hyperlink" Target="https://www.youtube.com/watch?v=atUJS7Ar70U" TargetMode="External"/><Relationship Id="rId453" Type="http://schemas.openxmlformats.org/officeDocument/2006/relationships/hyperlink" Target="https://takeuforward.org/data-structure/number-of-substrings-containing-all-three-characters/" TargetMode="External"/><Relationship Id="rId454" Type="http://schemas.openxmlformats.org/officeDocument/2006/relationships/hyperlink" Target="https://leetcode.com/problems/number-of-substrings-containing-all-three-characters/" TargetMode="External"/><Relationship Id="rId455" Type="http://schemas.openxmlformats.org/officeDocument/2006/relationships/hyperlink" Target="https://www.geeksforgeeks.org/problems/number-of-substrings-containing-all-three-characters/1" TargetMode="External"/><Relationship Id="rId456" Type="http://schemas.openxmlformats.org/officeDocument/2006/relationships/hyperlink" Target="https://www.youtube.com/watch?v=xtqN4Klq8DM" TargetMode="External"/><Relationship Id="rId457" Type="http://schemas.openxmlformats.org/officeDocument/2006/relationships/hyperlink" Target="https://takeuforward.org/data-structure/maximum-points-you-can-obtain-from-cards/" TargetMode="External"/><Relationship Id="rId458" Type="http://schemas.openxmlformats.org/officeDocument/2006/relationships/hyperlink" Target="https://leetcode.com/problems/maximum-points-you-can-obtain-from-cards/" TargetMode="External"/><Relationship Id="rId459" Type="http://schemas.openxmlformats.org/officeDocument/2006/relationships/hyperlink" Target="https://www.geeksforgeeks.org/problems/maximum-points-you-can-obtain-from-cards/1" TargetMode="External"/><Relationship Id="rId460" Type="http://schemas.openxmlformats.org/officeDocument/2006/relationships/hyperlink" Target="https://www.youtube.com/watch?v=TsA4vbtfCvo" TargetMode="External"/><Relationship Id="rId461" Type="http://schemas.openxmlformats.org/officeDocument/2006/relationships/hyperlink" Target="https://takeuforward.org/data-structure/longest-subarray-of-1s-after-deleting-one-element/" TargetMode="External"/><Relationship Id="rId462" Type="http://schemas.openxmlformats.org/officeDocument/2006/relationships/hyperlink" Target="https://leetcode.com/problems/longest-subarray-of-1s-after-deleting-one-element/" TargetMode="External"/><Relationship Id="rId463" Type="http://schemas.openxmlformats.org/officeDocument/2006/relationships/hyperlink" Target="https://www.geeksforgeeks.org/problems/longest-subarray-of-1s-after-deleting-one-element/1" TargetMode="External"/><Relationship Id="rId464" Type="http://schemas.openxmlformats.org/officeDocument/2006/relationships/hyperlink" Target="https://www.youtube.com/watch?v=m7H_uW_W47k" TargetMode="External"/><Relationship Id="rId465" Type="http://schemas.openxmlformats.org/officeDocument/2006/relationships/hyperlink" Target="https://takeuforward.org/data-structure/subarrays-with-k-different-integers/" TargetMode="External"/><Relationship Id="rId466" Type="http://schemas.openxmlformats.org/officeDocument/2006/relationships/hyperlink" Target="https://leetcode.com/problems/subarrays-with-k-different-integers/" TargetMode="External"/><Relationship Id="rId467" Type="http://schemas.openxmlformats.org/officeDocument/2006/relationships/hyperlink" Target="https://www.geeksforgeeks.org/problems/subarrays-with-k-different-integers/1" TargetMode="External"/><Relationship Id="rId468" Type="http://schemas.openxmlformats.org/officeDocument/2006/relationships/hyperlink" Target="https://www.youtube.com/watch?v=akwRFY2eL0Y" TargetMode="External"/><Relationship Id="rId469" Type="http://schemas.openxmlformats.org/officeDocument/2006/relationships/hyperlink" Target="https://takeuforward.org/data-structure/minimum-window-subsequence/" TargetMode="External"/><Relationship Id="rId470" Type="http://schemas.openxmlformats.org/officeDocument/2006/relationships/hyperlink" Target="https://leetcode.com/problems/minimum-window-subsequence/" TargetMode="External"/><Relationship Id="rId471" Type="http://schemas.openxmlformats.org/officeDocument/2006/relationships/hyperlink" Target="https://www.geeksforgeeks.org/problems/minimum-window-subsequence/1" TargetMode="External"/><Relationship Id="rId472" Type="http://schemas.openxmlformats.org/officeDocument/2006/relationships/hyperlink" Target="https://www.youtube.com/watch?v=W2DvQcDPD9A" TargetMode="External"/><Relationship Id="rId473" Type="http://schemas.openxmlformats.org/officeDocument/2006/relationships/hyperlink" Target="https://takeuforward.org/data-structure/check-if-a-given-string-is-palindrome-or-not/" TargetMode="External"/><Relationship Id="rId474" Type="http://schemas.openxmlformats.org/officeDocument/2006/relationships/hyperlink" Target="https://leetcode.com/problems/valid-palindrome/" TargetMode="External"/><Relationship Id="rId475" Type="http://schemas.openxmlformats.org/officeDocument/2006/relationships/hyperlink" Target="https://www.geeksforgeeks.org/problems/palindrome-string0817/1" TargetMode="External"/><Relationship Id="rId476" Type="http://schemas.openxmlformats.org/officeDocument/2006/relationships/hyperlink" Target="https://www.youtube.com/watch?v=jGQqpO2b6lA" TargetMode="External"/><Relationship Id="rId477" Type="http://schemas.openxmlformats.org/officeDocument/2006/relationships/hyperlink" Target="https://takeuforward.org/data-structure/two-sum-ii-input-array-is-sorted/" TargetMode="External"/><Relationship Id="rId478" Type="http://schemas.openxmlformats.org/officeDocument/2006/relationships/hyperlink" Target="https://leetcode.com/problems/two-sum-ii-input-array-is-sorted/" TargetMode="External"/><Relationship Id="rId479" Type="http://schemas.openxmlformats.org/officeDocument/2006/relationships/hyperlink" Target="https://www.geeksforgeeks.org/problems/two-sum-closest/1" TargetMode="External"/><Relationship Id="rId480" Type="http://schemas.openxmlformats.org/officeDocument/2006/relationships/hyperlink" Target="https://www.youtube.com/watch?v=cQ1Oz4ckceM" TargetMode="External"/><Relationship Id="rId481" Type="http://schemas.openxmlformats.org/officeDocument/2006/relationships/hyperlink" Target="https://takeuforward.org/data-structure/remove-duplicates-from-sorted-array/" TargetMode="External"/><Relationship Id="rId482" Type="http://schemas.openxmlformats.org/officeDocument/2006/relationships/hyperlink" Target="https://leetcode.com/problems/remove-duplicates-from-sorted-array/" TargetMode="External"/><Relationship Id="rId483" Type="http://schemas.openxmlformats.org/officeDocument/2006/relationships/hyperlink" Target="https://www.geeksforgeeks.org/problems/remove-duplicate-elements-from-sorted-array/1" TargetMode="External"/><Relationship Id="rId484" Type="http://schemas.openxmlformats.org/officeDocument/2006/relationships/hyperlink" Target="https://www.youtube.com/watch?v=Fm_p9lJ4Z_8" TargetMode="External"/><Relationship Id="rId485" Type="http://schemas.openxmlformats.org/officeDocument/2006/relationships/hyperlink" Target="https://takeuforward.org/data-structure/3-sum-find-triplets-that-add-up-to-zero/" TargetMode="External"/><Relationship Id="rId486" Type="http://schemas.openxmlformats.org/officeDocument/2006/relationships/hyperlink" Target="https://leetcode.com/problems/3sum/" TargetMode="External"/><Relationship Id="rId487" Type="http://schemas.openxmlformats.org/officeDocument/2006/relationships/hyperlink" Target="https://www.geeksforgeeks.org/problems/3-sum-closest/1" TargetMode="External"/><Relationship Id="rId488" Type="http://schemas.openxmlformats.org/officeDocument/2006/relationships/hyperlink" Target="https://www.youtube.com/watch?v=DhFh8Kw7ymk" TargetMode="External"/><Relationship Id="rId489" Type="http://schemas.openxmlformats.org/officeDocument/2006/relationships/hyperlink" Target="https://takeuforward.org/data-structure/container-with-most-water/" TargetMode="External"/><Relationship Id="rId490" Type="http://schemas.openxmlformats.org/officeDocument/2006/relationships/hyperlink" Target="https://leetcode.com/problems/container-with-most-water/" TargetMode="External"/><Relationship Id="rId491" Type="http://schemas.openxmlformats.org/officeDocument/2006/relationships/hyperlink" Target="https://www.geeksforgeeks.org/problems/container-with-most-water5659/1" TargetMode="External"/><Relationship Id="rId492" Type="http://schemas.openxmlformats.org/officeDocument/2006/relationships/hyperlink" Target="https://www.youtube.com/watch?v=w7ftYGdHZz8" TargetMode="External"/><Relationship Id="rId493" Type="http://schemas.openxmlformats.org/officeDocument/2006/relationships/hyperlink" Target="https://takeuforward.org/data-structure/trapping-rainwater-and-maximising-the-amount-of-water-stored/" TargetMode="External"/><Relationship Id="rId494" Type="http://schemas.openxmlformats.org/officeDocument/2006/relationships/hyperlink" Target="https://leetcode.com/problems/trapping-rain-water/" TargetMode="External"/><Relationship Id="rId495" Type="http://schemas.openxmlformats.org/officeDocument/2006/relationships/hyperlink" Target="https://www.geeksforgeeks.org/problems/trapping-rain-water-1587115621/1" TargetMode="External"/><Relationship Id="rId496" Type="http://schemas.openxmlformats.org/officeDocument/2006/relationships/hyperlink" Target="https://www.youtube.com/watch?v=m18Hntz4go8" TargetMode="External"/><Relationship Id="rId497" Type="http://schemas.openxmlformats.org/officeDocument/2006/relationships/hyperlink" Target="https://takeuforward.org/data-structure/3sum-closest/" TargetMode="External"/><Relationship Id="rId498" Type="http://schemas.openxmlformats.org/officeDocument/2006/relationships/hyperlink" Target="https://leetcode.com/problems/3sum-closest/" TargetMode="External"/><Relationship Id="rId499" Type="http://schemas.openxmlformats.org/officeDocument/2006/relationships/hyperlink" Target="https://www.geeksforgeeks.org/problems/3-sum-closest/1" TargetMode="External"/><Relationship Id="rId500" Type="http://schemas.openxmlformats.org/officeDocument/2006/relationships/hyperlink" Target="https://www.youtube.com/watch?v=qBr2-S4Fefc" TargetMode="External"/><Relationship Id="rId501" Type="http://schemas.openxmlformats.org/officeDocument/2006/relationships/hyperlink" Target="https://takeuforward.org/data-structure/4-sum-find-quadruplets-that-add-up-to-a-target-value/" TargetMode="External"/><Relationship Id="rId502" Type="http://schemas.openxmlformats.org/officeDocument/2006/relationships/hyperlink" Target="https://leetcode.com/problems/4sum/" TargetMode="External"/><Relationship Id="rId503" Type="http://schemas.openxmlformats.org/officeDocument/2006/relationships/hyperlink" Target="https://www.geeksforgeeks.org/problems/find-all-four-sum-numbers1735/1" TargetMode="External"/><Relationship Id="rId504" Type="http://schemas.openxmlformats.org/officeDocument/2006/relationships/hyperlink" Target="https://www.youtube.com/watch?v=eD95WRlfAxM" TargetMode="External"/><Relationship Id="rId505" Type="http://schemas.openxmlformats.org/officeDocument/2006/relationships/hyperlink" Target="https://takeuforward.org/data-structure/sort-an-array-of-0s-1s-and-2s/" TargetMode="External"/><Relationship Id="rId506" Type="http://schemas.openxmlformats.org/officeDocument/2006/relationships/hyperlink" Target="https://leetcode.com/problems/sort-colors/" TargetMode="External"/><Relationship Id="rId507" Type="http://schemas.openxmlformats.org/officeDocument/2006/relationships/hyperlink" Target="https://www.geeksforgeeks.org/problems/sort-an-array-of-0s-1s-and-2s4231/1" TargetMode="External"/><Relationship Id="rId508" Type="http://schemas.openxmlformats.org/officeDocument/2006/relationships/hyperlink" Target="https://www.youtube.com/watch?v=tp8JIuCXyhw" TargetMode="External"/><Relationship Id="rId509" Type="http://schemas.openxmlformats.org/officeDocument/2006/relationships/hyperlink" Target="https://takeuforward.org/data-structure/squares-of-a-sorted-array/" TargetMode="External"/><Relationship Id="rId510" Type="http://schemas.openxmlformats.org/officeDocument/2006/relationships/hyperlink" Target="https://leetcode.com/problems/squares-of-a-sorted-array/" TargetMode="External"/><Relationship Id="rId511" Type="http://schemas.openxmlformats.org/officeDocument/2006/relationships/hyperlink" Target="https://www.geeksforgeeks.org/problems/squares-of-a-sorted-array/1" TargetMode="External"/><Relationship Id="rId512" Type="http://schemas.openxmlformats.org/officeDocument/2006/relationships/hyperlink" Target="https://www.youtube.com/watch?v=FPCZsG_AkCo" TargetMode="External"/><Relationship Id="rId513" Type="http://schemas.openxmlformats.org/officeDocument/2006/relationships/hyperlink" Target="https://takeuforward.org/data-structure/is-subsequence/" TargetMode="External"/><Relationship Id="rId514" Type="http://schemas.openxmlformats.org/officeDocument/2006/relationships/hyperlink" Target="https://leetcode.com/problems/is-subsequence/" TargetMode="External"/><Relationship Id="rId515" Type="http://schemas.openxmlformats.org/officeDocument/2006/relationships/hyperlink" Target="https://www.geeksforgeeks.org/problems/is-subsequence/1" TargetMode="External"/><Relationship Id="rId516" Type="http://schemas.openxmlformats.org/officeDocument/2006/relationships/hyperlink" Target="https://www.youtube.com/watch?v=PwUc_c8Fi4M" TargetMode="External"/><Relationship Id="rId517" Type="http://schemas.openxmlformats.org/officeDocument/2006/relationships/hyperlink" Target="https://takeuforward.org/data-structure/boats-to-save-people/" TargetMode="External"/><Relationship Id="rId518" Type="http://schemas.openxmlformats.org/officeDocument/2006/relationships/hyperlink" Target="https://leetcode.com/problems/boats-to-save-people/" TargetMode="External"/><Relationship Id="rId519" Type="http://schemas.openxmlformats.org/officeDocument/2006/relationships/hyperlink" Target="https://www.geeksforgeeks.org/problems/boats-to-save-people/1" TargetMode="External"/><Relationship Id="rId520" Type="http://schemas.openxmlformats.org/officeDocument/2006/relationships/hyperlink" Target="https://www.youtube.com/watch?v=XbxeQiCSFSA" TargetMode="External"/><Relationship Id="rId521" Type="http://schemas.openxmlformats.org/officeDocument/2006/relationships/hyperlink" Target="https://takeuforward.org/data-structure/compare-version-numbers/" TargetMode="External"/><Relationship Id="rId522" Type="http://schemas.openxmlformats.org/officeDocument/2006/relationships/hyperlink" Target="https://leetcode.com/problems/compare-version-numbers/" TargetMode="External"/><Relationship Id="rId523" Type="http://schemas.openxmlformats.org/officeDocument/2006/relationships/hyperlink" Target="https://www.geeksforgeeks.org/problems/compare-two-version-numbers1744/1" TargetMode="External"/><Relationship Id="rId524" Type="http://schemas.openxmlformats.org/officeDocument/2006/relationships/hyperlink" Target="https://www.youtube.com/watch?v=KM3nuJ1v0Xg" TargetMode="External"/><Relationship Id="rId525" Type="http://schemas.openxmlformats.org/officeDocument/2006/relationships/hyperlink" Target="https://takeuforward.org/data-structure/minimum-window-substring/" TargetMode="External"/><Relationship Id="rId526" Type="http://schemas.openxmlformats.org/officeDocument/2006/relationships/hyperlink" Target="https://leetcode.com/problems/minimum-window-substring/" TargetMode="External"/><Relationship Id="rId527" Type="http://schemas.openxmlformats.org/officeDocument/2006/relationships/hyperlink" Target="https://www.geeksforgeeks.org/problems/smallest-window-in-a-string-containing-all-the-characters-of-another-string-1587115621/1" TargetMode="External"/><Relationship Id="rId528" Type="http://schemas.openxmlformats.org/officeDocument/2006/relationships/hyperlink" Target="https://www.youtube.com/watch?v=3Xy208scElc" TargetMode="External"/><Relationship Id="rId529" Type="http://schemas.openxmlformats.org/officeDocument/2006/relationships/hyperlink" Target="https://takeuforward.org/data-structure/valid-palindrome-ii/" TargetMode="External"/><Relationship Id="rId530" Type="http://schemas.openxmlformats.org/officeDocument/2006/relationships/hyperlink" Target="https://leetcode.com/problems/valid-palindrome-ii/" TargetMode="External"/><Relationship Id="rId531" Type="http://schemas.openxmlformats.org/officeDocument/2006/relationships/hyperlink" Target="https://www.geeksforgeeks.org/problems/valid-palindrome-ii/1" TargetMode="External"/><Relationship Id="rId532" Type="http://schemas.openxmlformats.org/officeDocument/2006/relationships/hyperlink" Target="https://www.youtube.com/watch?v=L_75mZ488pE" TargetMode="External"/><Relationship Id="rId533" Type="http://schemas.openxmlformats.org/officeDocument/2006/relationships/hyperlink" Target="https://takeuforward.org/data-structure/reverse-a-linked-list/" TargetMode="External"/><Relationship Id="rId534" Type="http://schemas.openxmlformats.org/officeDocument/2006/relationships/hyperlink" Target="https://leetcode.com/problems/reverse-linked-list/" TargetMode="External"/><Relationship Id="rId535" Type="http://schemas.openxmlformats.org/officeDocument/2006/relationships/hyperlink" Target="https://www.geeksforgeeks.org/problems/reverse-a-linked-list/1" TargetMode="External"/><Relationship Id="rId536" Type="http://schemas.openxmlformats.org/officeDocument/2006/relationships/hyperlink" Target="https://www.youtube.com/watch?v=iRtLEoL-r0U" TargetMode="External"/><Relationship Id="rId537" Type="http://schemas.openxmlformats.org/officeDocument/2006/relationships/hyperlink" Target="https://takeuforward.org/data-structure/detect-a-loop-in-in-a-linked-list/" TargetMode="External"/><Relationship Id="rId538" Type="http://schemas.openxmlformats.org/officeDocument/2006/relationships/hyperlink" Target="https://leetcode.com/problems/linked-list-cycle/" TargetMode="External"/><Relationship Id="rId539" Type="http://schemas.openxmlformats.org/officeDocument/2006/relationships/hyperlink" Target="https://www.geeksforgeeks.org/problems/detect-loop-in-linked-list/1" TargetMode="External"/><Relationship Id="rId540" Type="http://schemas.openxmlformats.org/officeDocument/2006/relationships/hyperlink" Target="https://www.youtube.com/watch?v=355J83gXYg0" TargetMode="External"/><Relationship Id="rId541" Type="http://schemas.openxmlformats.org/officeDocument/2006/relationships/hyperlink" Target="https://takeuforward.org/data-structure/merge-two-sorted-linked-lists/" TargetMode="External"/><Relationship Id="rId542" Type="http://schemas.openxmlformats.org/officeDocument/2006/relationships/hyperlink" Target="https://leetcode.com/problems/merge-two-sorted-lists/" TargetMode="External"/><Relationship Id="rId543" Type="http://schemas.openxmlformats.org/officeDocument/2006/relationships/hyperlink" Target="https://www.geeksforgeeks.org/problems/merge-two-sorted-linked-lists/1" TargetMode="External"/><Relationship Id="rId544" Type="http://schemas.openxmlformats.org/officeDocument/2006/relationships/hyperlink" Target="https://www.youtube.com/watch?v=Xb4sra3RYL0" TargetMode="External"/><Relationship Id="rId545" Type="http://schemas.openxmlformats.org/officeDocument/2006/relationships/hyperlink" Target="https://takeuforward.org/data-structure/remove-nth-node-from-the-end-of-a-linked-list/" TargetMode="External"/><Relationship Id="rId546" Type="http://schemas.openxmlformats.org/officeDocument/2006/relationships/hyperlink" Target="https://leetcode.com/problems/remove-nth-node-from-end-of-list/" TargetMode="External"/><Relationship Id="rId547" Type="http://schemas.openxmlformats.org/officeDocument/2006/relationships/hyperlink" Target="https://www.geeksforgeeks.org/problems/remove-nth-node-from-end-of-linked-list/1" TargetMode="External"/><Relationship Id="rId548" Type="http://schemas.openxmlformats.org/officeDocument/2006/relationships/hyperlink" Target="https://www.youtube.com/watch?v=xto-w4a1iUA" TargetMode="External"/><Relationship Id="rId549" Type="http://schemas.openxmlformats.org/officeDocument/2006/relationships/hyperlink" Target="https://takeuforward.org/data-structure/find-the-starting-point-of-the-loop-in-linked-list/" TargetMode="External"/><Relationship Id="rId550" Type="http://schemas.openxmlformats.org/officeDocument/2006/relationships/hyperlink" Target="https://leetcode.com/problems/linked-list-cycle-ii/" TargetMode="External"/><Relationship Id="rId551" Type="http://schemas.openxmlformats.org/officeDocument/2006/relationships/hyperlink" Target="https://www.geeksforgeeks.org/problems/find-first-node-of-loop-in-linked-list/1" TargetMode="External"/><Relationship Id="rId552" Type="http://schemas.openxmlformats.org/officeDocument/2006/relationships/hyperlink" Target="https://www.youtube.com/watch?v=2KdY9kerNzk" TargetMode="External"/><Relationship Id="rId553" Type="http://schemas.openxmlformats.org/officeDocument/2006/relationships/hyperlink" Target="https://takeuforward.org/data-structure/reorder-list/" TargetMode="External"/><Relationship Id="rId554" Type="http://schemas.openxmlformats.org/officeDocument/2006/relationships/hyperlink" Target="https://leetcode.com/problems/reorder-list/" TargetMode="External"/><Relationship Id="rId555" Type="http://schemas.openxmlformats.org/officeDocument/2006/relationships/hyperlink" Target="https://www.geeksforgeeks.org/problems/reorder-list/1" TargetMode="External"/><Relationship Id="rId556" Type="http://schemas.openxmlformats.org/officeDocument/2006/relationships/hyperlink" Target="https://www.youtube.com/watch?v=S5yA50jElzE" TargetMode="External"/><Relationship Id="rId557" Type="http://schemas.openxmlformats.org/officeDocument/2006/relationships/hyperlink" Target="https://takeuforward.org/data-structure/find-intersection-of-two-linked-lists/" TargetMode="External"/><Relationship Id="rId558" Type="http://schemas.openxmlformats.org/officeDocument/2006/relationships/hyperlink" Target="https://leetcode.com/problems/intersection-of-two-linked-lists/" TargetMode="External"/><Relationship Id="rId559" Type="http://schemas.openxmlformats.org/officeDocument/2006/relationships/hyperlink" Target="https://www.geeksforgeeks.org/problems/intersection-point-in-y-shapped-linked-lists/1" TargetMode="External"/><Relationship Id="rId560" Type="http://schemas.openxmlformats.org/officeDocument/2006/relationships/hyperlink" Target="https://www.youtube.com/watch?v=u4FWXscMydU" TargetMode="External"/><Relationship Id="rId561" Type="http://schemas.openxmlformats.org/officeDocument/2006/relationships/hyperlink" Target="https://takeuforward.org/data-structure/add-two-numbers-represented-as-linked-lists/" TargetMode="External"/><Relationship Id="rId562" Type="http://schemas.openxmlformats.org/officeDocument/2006/relationships/hyperlink" Target="https://leetcode.com/problems/add-two-numbers/" TargetMode="External"/><Relationship Id="rId563" Type="http://schemas.openxmlformats.org/officeDocument/2006/relationships/hyperlink" Target="https://www.geeksforgeeks.org/problems/add-two-numbers-represented-by-linked-lists/1" TargetMode="External"/><Relationship Id="rId564" Type="http://schemas.openxmlformats.org/officeDocument/2006/relationships/hyperlink" Target="https://www.youtube.com/watch?v=LBVsXyA2i0M" TargetMode="External"/><Relationship Id="rId565" Type="http://schemas.openxmlformats.org/officeDocument/2006/relationships/hyperlink" Target="https://takeuforward.org/data-structure/clone-linked-list-with-random-and-next-pointer/" TargetMode="External"/><Relationship Id="rId566" Type="http://schemas.openxmlformats.org/officeDocument/2006/relationships/hyperlink" Target="https://leetcode.com/problems/copy-list-with-random-pointer/" TargetMode="External"/><Relationship Id="rId567" Type="http://schemas.openxmlformats.org/officeDocument/2006/relationships/hyperlink" Target="https://www.geeksforgeeks.org/problems/clone-a-linked-list-with-next-and-random-pointer/1" TargetMode="External"/><Relationship Id="rId568" Type="http://schemas.openxmlformats.org/officeDocument/2006/relationships/hyperlink" Target="https://www.youtube.com/watch?v=VNf6VynfpdM" TargetMode="External"/><Relationship Id="rId569" Type="http://schemas.openxmlformats.org/officeDocument/2006/relationships/hyperlink" Target="https://takeuforward.org/data-structure/check-if-linked-list-is-palindrome/" TargetMode="External"/><Relationship Id="rId570" Type="http://schemas.openxmlformats.org/officeDocument/2006/relationships/hyperlink" Target="https://leetcode.com/problems/palindrome-linked-list/" TargetMode="External"/><Relationship Id="rId571" Type="http://schemas.openxmlformats.org/officeDocument/2006/relationships/hyperlink" Target="https://www.geeksforgeeks.org/problems/check-if-linked-list-is-pallindrome/1" TargetMode="External"/><Relationship Id="rId572" Type="http://schemas.openxmlformats.org/officeDocument/2006/relationships/hyperlink" Target="https://www.youtube.com/watch?v=lRY_G-u_8jk" TargetMode="External"/><Relationship Id="rId573" Type="http://schemas.openxmlformats.org/officeDocument/2006/relationships/hyperlink" Target="https://takeuforward.org/data-structure/reverse-linked-list-in-groups-of-size-k/" TargetMode="External"/><Relationship Id="rId574" Type="http://schemas.openxmlformats.org/officeDocument/2006/relationships/hyperlink" Target="https://leetcode.com/problems/reverse-nodes-in-k-group/" TargetMode="External"/><Relationship Id="rId575" Type="http://schemas.openxmlformats.org/officeDocument/2006/relationships/hyperlink" Target="https://www.geeksforgeeks.org/problems/reverse-a-linked-list-in-groups-of-given-size/1" TargetMode="External"/><Relationship Id="rId576" Type="http://schemas.openxmlformats.org/officeDocument/2006/relationships/hyperlink" Target="https://www.youtube.com/watch?v=Of0HPkk3JgI" TargetMode="External"/><Relationship Id="rId577" Type="http://schemas.openxmlformats.org/officeDocument/2006/relationships/hyperlink" Target="https://takeuforward.org/data-structure/flattening-a-linked-list/" TargetMode="External"/><Relationship Id="rId578" Type="http://schemas.openxmlformats.org/officeDocument/2006/relationships/hyperlink" Target="https://leetcode.com/problems/flatten-a-multilevel-doubly-linked-list/" TargetMode="External"/><Relationship Id="rId579" Type="http://schemas.openxmlformats.org/officeDocument/2006/relationships/hyperlink" Target="https://www.geeksforgeeks.org/problems/flattening-a-linked-list/1" TargetMode="External"/><Relationship Id="rId580" Type="http://schemas.openxmlformats.org/officeDocument/2006/relationships/hyperlink" Target="https://www.youtube.com/watch?v=ysytkG5q2DE" TargetMode="External"/><Relationship Id="rId581" Type="http://schemas.openxmlformats.org/officeDocument/2006/relationships/hyperlink" Target="https://takeuforward.org/data-structure/merge-k-sorted-linked-lists/" TargetMode="External"/><Relationship Id="rId582" Type="http://schemas.openxmlformats.org/officeDocument/2006/relationships/hyperlink" Target="https://leetcode.com/problems/merge-k-sorted-lists/" TargetMode="External"/><Relationship Id="rId583" Type="http://schemas.openxmlformats.org/officeDocument/2006/relationships/hyperlink" Target="https://www.geeksforgeeks.org/problems/merge-k-sorted-linked-lists/1" TargetMode="External"/><Relationship Id="rId584" Type="http://schemas.openxmlformats.org/officeDocument/2006/relationships/hyperlink" Target="https://www.youtube.com/watch?v=kpCesr9VXDA" TargetMode="External"/><Relationship Id="rId585" Type="http://schemas.openxmlformats.org/officeDocument/2006/relationships/hyperlink" Target="https://takeuforward.org/data-structure/remove-duplicates-from-sorted-linked-list/" TargetMode="External"/><Relationship Id="rId586" Type="http://schemas.openxmlformats.org/officeDocument/2006/relationships/hyperlink" Target="https://leetcode.com/problems/remove-duplicates-from-sorted-list/" TargetMode="External"/><Relationship Id="rId587" Type="http://schemas.openxmlformats.org/officeDocument/2006/relationships/hyperlink" Target="https://www.geeksforgeeks.org/problems/remove-duplicate-element-from-sorted-linked-list/1" TargetMode="External"/><Relationship Id="rId588" Type="http://schemas.openxmlformats.org/officeDocument/2006/relationships/hyperlink" Target="https://www.youtube.com/watch?v=p10f-VpqnS0" TargetMode="External"/><Relationship Id="rId589" Type="http://schemas.openxmlformats.org/officeDocument/2006/relationships/hyperlink" Target="https://takeuforward.org/data-structure/remove-duplicates-from-sorted-linked-list-ii/" TargetMode="External"/><Relationship Id="rId590" Type="http://schemas.openxmlformats.org/officeDocument/2006/relationships/hyperlink" Target="https://leetcode.com/problems/remove-duplicates-from-sorted-list-ii/" TargetMode="External"/><Relationship Id="rId591" Type="http://schemas.openxmlformats.org/officeDocument/2006/relationships/hyperlink" Target="https://www.geeksforgeeks.org/problems/remove-duplicates-from-an-unsorted-linked-list/1" TargetMode="External"/><Relationship Id="rId592" Type="http://schemas.openxmlformats.org/officeDocument/2006/relationships/hyperlink" Target="https://www.youtube.com/watch?v=R6ichstJe2w" TargetMode="External"/><Relationship Id="rId593" Type="http://schemas.openxmlformats.org/officeDocument/2006/relationships/hyperlink" Target="https://takeuforward.org/data-structure/rotate-a-linked-list/" TargetMode="External"/><Relationship Id="rId594" Type="http://schemas.openxmlformats.org/officeDocument/2006/relationships/hyperlink" Target="https://leetcode.com/problems/rotate-list/" TargetMode="External"/><Relationship Id="rId595" Type="http://schemas.openxmlformats.org/officeDocument/2006/relationships/hyperlink" Target="https://www.geeksforgeeks.org/problems/rotate-a-linked-list/1" TargetMode="External"/><Relationship Id="rId596" Type="http://schemas.openxmlformats.org/officeDocument/2006/relationships/hyperlink" Target="https://www.youtube.com/watch?v=9VPm6nEbVPA" TargetMode="External"/><Relationship Id="rId597" Type="http://schemas.openxmlformats.org/officeDocument/2006/relationships/hyperlink" Target="https://takeuforward.org/data-structure/swap-nodes-in-pairs/" TargetMode="External"/><Relationship Id="rId598" Type="http://schemas.openxmlformats.org/officeDocument/2006/relationships/hyperlink" Target="https://leetcode.com/problems/swap-nodes-in-pairs/" TargetMode="External"/><Relationship Id="rId599" Type="http://schemas.openxmlformats.org/officeDocument/2006/relationships/hyperlink" Target="https://www.geeksforgeeks.org/problems/swap-kth-node-from-beginning-and-kth-node-from-end-in-a-singly-linked-list/1" TargetMode="External"/><Relationship Id="rId600" Type="http://schemas.openxmlformats.org/officeDocument/2006/relationships/hyperlink" Target="https://www.youtube.com/watch?v=o81167hKi2w" TargetMode="External"/><Relationship Id="rId601" Type="http://schemas.openxmlformats.org/officeDocument/2006/relationships/hyperlink" Target="https://takeuforward.org/data-structure/odd-even-linked-list/" TargetMode="External"/><Relationship Id="rId602" Type="http://schemas.openxmlformats.org/officeDocument/2006/relationships/hyperlink" Target="https://leetcode.com/problems/odd-even-linked-list/" TargetMode="External"/><Relationship Id="rId603" Type="http://schemas.openxmlformats.org/officeDocument/2006/relationships/hyperlink" Target="https://www.geeksforgeeks.org/problems/rearrange-a-linked-list-odd-and-even-positioned-nodes-together/1" TargetMode="External"/><Relationship Id="rId604" Type="http://schemas.openxmlformats.org/officeDocument/2006/relationships/hyperlink" Target="https://www.youtube.com/watch?v=YE9ggwfn5UI" TargetMode="External"/><Relationship Id="rId605" Type="http://schemas.openxmlformats.org/officeDocument/2006/relationships/hyperlink" Target="https://takeuforward.org/data-structure/partition-list/" TargetMode="External"/><Relationship Id="rId606" Type="http://schemas.openxmlformats.org/officeDocument/2006/relationships/hyperlink" Target="https://leetcode.com/problems/partition-list/" TargetMode="External"/><Relationship Id="rId607" Type="http://schemas.openxmlformats.org/officeDocument/2006/relationships/hyperlink" Target="https://www.geeksforgeeks.org/problems/partition-a-linked-list-around-a-given-value/1" TargetMode="External"/><Relationship Id="rId608" Type="http://schemas.openxmlformats.org/officeDocument/2006/relationships/hyperlink" Target="https://www.youtube.com/watch?v=K5AVJfhp5Mc" TargetMode="External"/><Relationship Id="rId609" Type="http://schemas.openxmlformats.org/officeDocument/2006/relationships/hyperlink" Target="https://takeuforward.org/data-structure/delete-node-in-a-linked-list/" TargetMode="External"/><Relationship Id="rId610" Type="http://schemas.openxmlformats.org/officeDocument/2006/relationships/hyperlink" Target="https://leetcode.com/problems/delete-node-in-a-linked-list/" TargetMode="External"/><Relationship Id="rId611" Type="http://schemas.openxmlformats.org/officeDocument/2006/relationships/hyperlink" Target="https://www.geeksforgeeks.org/problems/delete-without-head-pointer/1" TargetMode="External"/><Relationship Id="rId612" Type="http://schemas.openxmlformats.org/officeDocument/2006/relationships/hyperlink" Target="https://www.youtube.com/watch?v=ruVM8GE7c34" TargetMode="External"/><Relationship Id="rId613" Type="http://schemas.openxmlformats.org/officeDocument/2006/relationships/hyperlink" Target="https://takeuforward.org/data-structure/parenthesis-checker/" TargetMode="External"/><Relationship Id="rId614" Type="http://schemas.openxmlformats.org/officeDocument/2006/relationships/hyperlink" Target="https://leetcode.com/problems/valid-parentheses/" TargetMode="External"/><Relationship Id="rId615" Type="http://schemas.openxmlformats.org/officeDocument/2006/relationships/hyperlink" Target="https://www.geeksforgeeks.org/problems/parenthesis-checker2744/1" TargetMode="External"/><Relationship Id="rId616" Type="http://schemas.openxmlformats.org/officeDocument/2006/relationships/hyperlink" Target="https://www.youtube.com/watch?v=CcAzJ7h3n84" TargetMode="External"/><Relationship Id="rId617" Type="http://schemas.openxmlformats.org/officeDocument/2006/relationships/hyperlink" Target="https://takeuforward.org/data-structure/implement-min-stack-o1-space-complexity/" TargetMode="External"/><Relationship Id="rId618" Type="http://schemas.openxmlformats.org/officeDocument/2006/relationships/hyperlink" Target="https://leetcode.com/problems/min-stack/" TargetMode="External"/><Relationship Id="rId619" Type="http://schemas.openxmlformats.org/officeDocument/2006/relationships/hyperlink" Target="https://www.geeksforgeeks.org/problems/special-stack/1" TargetMode="External"/><Relationship Id="rId620" Type="http://schemas.openxmlformats.org/officeDocument/2006/relationships/hyperlink" Target="https://www.youtube.com/watch?v=V8ipElGIIEw" TargetMode="External"/><Relationship Id="rId621" Type="http://schemas.openxmlformats.org/officeDocument/2006/relationships/hyperlink" Target="https://takeuforward.org/data-structure/implement-queue-using-stack/" TargetMode="External"/><Relationship Id="rId622" Type="http://schemas.openxmlformats.org/officeDocument/2006/relationships/hyperlink" Target="https://leetcode.com/problems/implement-queue-using-stacks/" TargetMode="External"/><Relationship Id="rId623" Type="http://schemas.openxmlformats.org/officeDocument/2006/relationships/hyperlink" Target="https://www.geeksforgeeks.org/problems/queue-using-two-stacks/1" TargetMode="External"/><Relationship Id="rId624" Type="http://schemas.openxmlformats.org/officeDocument/2006/relationships/hyperlink" Target="https://www.youtube.com/watch?v=3Et9kqQ0Gb4" TargetMode="External"/><Relationship Id="rId625" Type="http://schemas.openxmlformats.org/officeDocument/2006/relationships/hyperlink" Target="https://takeuforward.org/data-structure/implement-stack-using-single-queue/" TargetMode="External"/><Relationship Id="rId626" Type="http://schemas.openxmlformats.org/officeDocument/2006/relationships/hyperlink" Target="https://leetcode.com/problems/implement-stack-using-queues/" TargetMode="External"/><Relationship Id="rId627" Type="http://schemas.openxmlformats.org/officeDocument/2006/relationships/hyperlink" Target="https://www.geeksforgeeks.org/problems/stack-using-two-queues/1" TargetMode="External"/><Relationship Id="rId628" Type="http://schemas.openxmlformats.org/officeDocument/2006/relationships/hyperlink" Target="https://www.youtube.com/watch?v=jDZQKzEtbYQ" TargetMode="External"/><Relationship Id="rId629" Type="http://schemas.openxmlformats.org/officeDocument/2006/relationships/hyperlink" Target="https://takeuforward.org/data-structure/next-greater-element-using-stack/" TargetMode="External"/><Relationship Id="rId630" Type="http://schemas.openxmlformats.org/officeDocument/2006/relationships/hyperlink" Target="https://leetcode.com/problems/next-greater-element-i/" TargetMode="External"/><Relationship Id="rId631" Type="http://schemas.openxmlformats.org/officeDocument/2006/relationships/hyperlink" Target="https://www.geeksforgeeks.org/problems/next-greater-element-1587115620/1" TargetMode="External"/><Relationship Id="rId632" Type="http://schemas.openxmlformats.org/officeDocument/2006/relationships/hyperlink" Target="https://www.youtube.com/watch?v=Du881K7Jtk8" TargetMode="External"/><Relationship Id="rId633" Type="http://schemas.openxmlformats.org/officeDocument/2006/relationships/hyperlink" Target="https://takeuforward.org/data-structure/next-greater-element-ii/" TargetMode="External"/><Relationship Id="rId634" Type="http://schemas.openxmlformats.org/officeDocument/2006/relationships/hyperlink" Target="https://leetcode.com/problems/next-greater-element-ii/" TargetMode="External"/><Relationship Id="rId635" Type="http://schemas.openxmlformats.org/officeDocument/2006/relationships/hyperlink" Target="https://www.geeksforgeeks.org/problems/next-greater-element/1" TargetMode="External"/><Relationship Id="rId636" Type="http://schemas.openxmlformats.org/officeDocument/2006/relationships/hyperlink" Target="https://www.youtube.com/watch?v=Rgp8hOJcYnw" TargetMode="External"/><Relationship Id="rId637" Type="http://schemas.openxmlformats.org/officeDocument/2006/relationships/hyperlink" Target="https://takeuforward.org/data-structure/next-greater-element-iii/" TargetMode="External"/><Relationship Id="rId638" Type="http://schemas.openxmlformats.org/officeDocument/2006/relationships/hyperlink" Target="https://leetcode.com/problems/next-greater-element-iii/" TargetMode="External"/><Relationship Id="rId639" Type="http://schemas.openxmlformats.org/officeDocument/2006/relationships/hyperlink" Target="https://www.geeksforgeeks.org/problems/next-greater-element/1" TargetMode="External"/><Relationship Id="rId640" Type="http://schemas.openxmlformats.org/officeDocument/2006/relationships/hyperlink" Target="https://www.youtube.com/watch?v=m2G13W6U5-o" TargetMode="External"/><Relationship Id="rId641" Type="http://schemas.openxmlformats.org/officeDocument/2006/relationships/hyperlink" Target="https://takeuforward.org/data-structure/daily-temperatures/" TargetMode="External"/><Relationship Id="rId642" Type="http://schemas.openxmlformats.org/officeDocument/2006/relationships/hyperlink" Target="https://leetcode.com/problems/daily-temperatures/" TargetMode="External"/><Relationship Id="rId643" Type="http://schemas.openxmlformats.org/officeDocument/2006/relationships/hyperlink" Target="https://www.geeksforgeeks.org/problems/daily-temperatures/1" TargetMode="External"/><Relationship Id="rId644" Type="http://schemas.openxmlformats.org/officeDocument/2006/relationships/hyperlink" Target="https://www.youtube.com/watch?v=cTBiBSODGyI" TargetMode="External"/><Relationship Id="rId645" Type="http://schemas.openxmlformats.org/officeDocument/2006/relationships/hyperlink" Target="https://takeuforward.org/data-structure/evaluate-reverse-polish-notation/" TargetMode="External"/><Relationship Id="rId646" Type="http://schemas.openxmlformats.org/officeDocument/2006/relationships/hyperlink" Target="https://leetcode.com/problems/evaluate-reverse-polish-notation/" TargetMode="External"/><Relationship Id="rId647" Type="http://schemas.openxmlformats.org/officeDocument/2006/relationships/hyperlink" Target="https://www.geeksforgeeks.org/problems/evaluate-reverse-polish-notation/1" TargetMode="External"/><Relationship Id="rId648" Type="http://schemas.openxmlformats.org/officeDocument/2006/relationships/hyperlink" Target="https://www.youtube.com/watch?v=84BsI5V57Hy" TargetMode="External"/><Relationship Id="rId649" Type="http://schemas.openxmlformats.org/officeDocument/2006/relationships/hyperlink" Target="https://takeuforward.org/data-structure/area-of-largest-rectangle-in-histogram/" TargetMode="External"/><Relationship Id="rId650" Type="http://schemas.openxmlformats.org/officeDocument/2006/relationships/hyperlink" Target="https://leetcode.com/problems/largest-rectangle-in-histogram/" TargetMode="External"/><Relationship Id="rId651" Type="http://schemas.openxmlformats.org/officeDocument/2006/relationships/hyperlink" Target="https://www.geeksforgeeks.org/problems/maximum-rectangular-area-in-a-histogram-1587115620/1" TargetMode="External"/><Relationship Id="rId652" Type="http://schemas.openxmlformats.org/officeDocument/2006/relationships/hyperlink" Target="https://www.youtube.com/watch?v=X0XLOtShg5U" TargetMode="External"/><Relationship Id="rId653" Type="http://schemas.openxmlformats.org/officeDocument/2006/relationships/hyperlink" Target="https://takeuforward.org/data-structure/maximal-rectangle-in-matrix-using-histogram/" TargetMode="External"/><Relationship Id="rId654" Type="http://schemas.openxmlformats.org/officeDocument/2006/relationships/hyperlink" Target="https://leetcode.com/problems/maximal-rectangle/" TargetMode="External"/><Relationship Id="rId655" Type="http://schemas.openxmlformats.org/officeDocument/2006/relationships/hyperlink" Target="https://www.geeksforgeeks.org/problems/max-area-rectangle-in-binary-matrix/1" TargetMode="External"/><Relationship Id="rId656" Type="http://schemas.openxmlformats.org/officeDocument/2006/relationships/hyperlink" Target="https://www.youtube.com/watch?v=tOylVCdg56U" TargetMode="External"/><Relationship Id="rId657" Type="http://schemas.openxmlformats.org/officeDocument/2006/relationships/hyperlink" Target="https://takeuforward.org/data-structure/stock-span-problem/" TargetMode="External"/><Relationship Id="rId658" Type="http://schemas.openxmlformats.org/officeDocument/2006/relationships/hyperlink" Target="https://leetcode.com/problems/online-stock-span/" TargetMode="External"/><Relationship Id="rId659" Type="http://schemas.openxmlformats.org/officeDocument/2006/relationships/hyperlink" Target="https://www.geeksforgeeks.org/problems/stock-span-problem-1587115621/1" TargetMode="External"/><Relationship Id="rId660" Type="http://schemas.openxmlformats.org/officeDocument/2006/relationships/hyperlink" Target="https://www.youtube.com/watch?v=slYxReqt5aw" TargetMode="External"/><Relationship Id="rId661" Type="http://schemas.openxmlformats.org/officeDocument/2006/relationships/hyperlink" Target="https://takeuforward.org/data-structure/asteroid-collision/" TargetMode="External"/><Relationship Id="rId662" Type="http://schemas.openxmlformats.org/officeDocument/2006/relationships/hyperlink" Target="https://leetcode.com/problems/asteroid-collision/" TargetMode="External"/><Relationship Id="rId663" Type="http://schemas.openxmlformats.org/officeDocument/2006/relationships/hyperlink" Target="https://www.geeksforgeeks.org/problems/asteroid-collision/1" TargetMode="External"/><Relationship Id="rId664" Type="http://schemas.openxmlformats.org/officeDocument/2006/relationships/hyperlink" Target="https://www.youtube.com/watch?v=LN7Elgnuxac" TargetMode="External"/><Relationship Id="rId665" Type="http://schemas.openxmlformats.org/officeDocument/2006/relationships/hyperlink" Target="https://takeuforward.org/data-structure/trapping-rainwater-and-maximising-the-amount-of-water-stored/" TargetMode="External"/><Relationship Id="rId666" Type="http://schemas.openxmlformats.org/officeDocument/2006/relationships/hyperlink" Target="https://leetcode.com/problems/trapping-rain-water/" TargetMode="External"/><Relationship Id="rId667" Type="http://schemas.openxmlformats.org/officeDocument/2006/relationships/hyperlink" Target="https://www.geeksforgeeks.org/problems/trapping-rain-water-1587115621/1" TargetMode="External"/><Relationship Id="rId668" Type="http://schemas.openxmlformats.org/officeDocument/2006/relationships/hyperlink" Target="https://www.youtube.com/watch?v=m18Hntz4go8" TargetMode="External"/><Relationship Id="rId669" Type="http://schemas.openxmlformats.org/officeDocument/2006/relationships/hyperlink" Target="https://takeuforward.org/data-structure/sliding-window-maximum/" TargetMode="External"/><Relationship Id="rId670" Type="http://schemas.openxmlformats.org/officeDocument/2006/relationships/hyperlink" Target="https://leetcode.com/problems/sliding-window-maximum/" TargetMode="External"/><Relationship Id="rId671" Type="http://schemas.openxmlformats.org/officeDocument/2006/relationships/hyperlink" Target="https://www.geeksforgeeks.org/problems/maximum-of-all-subarrays-of-size-k3101/1" TargetMode="External"/><Relationship Id="rId672" Type="http://schemas.openxmlformats.org/officeDocument/2006/relationships/hyperlink" Target="https://www.youtube.com/watch?v=CZQrKoB5yS0" TargetMode="External"/><Relationship Id="rId673" Type="http://schemas.openxmlformats.org/officeDocument/2006/relationships/hyperlink" Target="https://takeuforward.org/data-structure/parenthesis-checker/" TargetMode="External"/><Relationship Id="rId674" Type="http://schemas.openxmlformats.org/officeDocument/2006/relationships/hyperlink" Target="https://leetcode.com/problems/valid-parentheses/" TargetMode="External"/><Relationship Id="rId675" Type="http://schemas.openxmlformats.org/officeDocument/2006/relationships/hyperlink" Target="https://www.geeksforgeeks.org/problems/parenthesis-checker2744/1" TargetMode="External"/><Relationship Id="rId676" Type="http://schemas.openxmlformats.org/officeDocument/2006/relationships/hyperlink" Target="https://www.youtube.com/watch?v=CcAzJ7h3n84" TargetMode="External"/><Relationship Id="rId677" Type="http://schemas.openxmlformats.org/officeDocument/2006/relationships/hyperlink" Target="https://takeuforward.org/data-structure/next-smaller-element/" TargetMode="External"/><Relationship Id="rId678" Type="http://schemas.openxmlformats.org/officeDocument/2006/relationships/hyperlink" Target="https://leetcode.com/problems/final-prices-with-a-special-discount-in-a-shop/" TargetMode="External"/><Relationship Id="rId679" Type="http://schemas.openxmlformats.org/officeDocument/2006/relationships/hyperlink" Target="https://www.geeksforgeeks.org/problems/help-classmates--141631/1" TargetMode="External"/><Relationship Id="rId680" Type="http://schemas.openxmlformats.org/officeDocument/2006/relationships/hyperlink" Target="https://www.youtube.com/watch?v=tIeFkPv2xS4" TargetMode="External"/><Relationship Id="rId681" Type="http://schemas.openxmlformats.org/officeDocument/2006/relationships/hyperlink" Target="https://takeuforward.org/data-structure/get-lru-cache-implementation/" TargetMode="External"/><Relationship Id="rId682" Type="http://schemas.openxmlformats.org/officeDocument/2006/relationships/hyperlink" Target="https://leetcode.com/problems/lru-cache/" TargetMode="External"/><Relationship Id="rId683" Type="http://schemas.openxmlformats.org/officeDocument/2006/relationships/hyperlink" Target="https://www.geeksforgeeks.org/problems/lru-cache/1" TargetMode="External"/><Relationship Id="rId684" Type="http://schemas.openxmlformats.org/officeDocument/2006/relationships/hyperlink" Target="https://www.youtube.com/watch?v=xDEuM5qa0zg" TargetMode="External"/><Relationship Id="rId685" Type="http://schemas.openxmlformats.org/officeDocument/2006/relationships/hyperlink" Target="https://takeuforward.org/data-structure/lfu-cache-implementation/" TargetMode="External"/><Relationship Id="rId686" Type="http://schemas.openxmlformats.org/officeDocument/2006/relationships/hyperlink" Target="https://leetcode.com/problems/lfu-cache/" TargetMode="External"/><Relationship Id="rId687" Type="http://schemas.openxmlformats.org/officeDocument/2006/relationships/hyperlink" Target="https://www.geeksforgeeks.org/problems/lfu-cache-1664375355/1" TargetMode="External"/><Relationship Id="rId688" Type="http://schemas.openxmlformats.org/officeDocument/2006/relationships/hyperlink" Target="https://www.youtube.com/watch?v=0PSB9y8ehbk" TargetMode="External"/><Relationship Id="rId689" Type="http://schemas.openxmlformats.org/officeDocument/2006/relationships/hyperlink" Target="https://takeuforward.org/data-structure/rotting-oranges-bfs-graph-problem/" TargetMode="External"/><Relationship Id="rId690" Type="http://schemas.openxmlformats.org/officeDocument/2006/relationships/hyperlink" Target="https://leetcode.com/problems/rotting-oranges/" TargetMode="External"/><Relationship Id="rId691" Type="http://schemas.openxmlformats.org/officeDocument/2006/relationships/hyperlink" Target="https://www.geeksforgeeks.org/problems/rotting-oranges3614/1" TargetMode="External"/><Relationship Id="rId692" Type="http://schemas.openxmlformats.org/officeDocument/2006/relationships/hyperlink" Target="https://www.youtube.com/watch?v=yf3oUhkvqA0" TargetMode="External"/><Relationship Id="rId693" Type="http://schemas.openxmlformats.org/officeDocument/2006/relationships/hyperlink" Target="https://takeuforward.org/data-structure/longest-valid-parentheses/" TargetMode="External"/><Relationship Id="rId694" Type="http://schemas.openxmlformats.org/officeDocument/2006/relationships/hyperlink" Target="https://leetcode.com/problems/longest-valid-parentheses/" TargetMode="External"/><Relationship Id="rId695" Type="http://schemas.openxmlformats.org/officeDocument/2006/relationships/hyperlink" Target="https://www.geeksforgeeks.org/problems/longest-valid-parentheses5657/1" TargetMode="External"/><Relationship Id="rId696" Type="http://schemas.openxmlformats.org/officeDocument/2006/relationships/hyperlink" Target="https://www.youtube.com/watch?v=VdNp015aA0o" TargetMode="External"/><Relationship Id="rId697" Type="http://schemas.openxmlformats.org/officeDocument/2006/relationships/hyperlink" Target="https://takeuforward.org/data-structure/circular-queue-implementation/" TargetMode="External"/><Relationship Id="rId698" Type="http://schemas.openxmlformats.org/officeDocument/2006/relationships/hyperlink" Target="https://leetcode.com/problems/design-circular-queue/" TargetMode="External"/><Relationship Id="rId699" Type="http://schemas.openxmlformats.org/officeDocument/2006/relationships/hyperlink" Target="https://www.geeksforgeeks.org/problems/design-circular-queue/1" TargetMode="External"/><Relationship Id="rId700" Type="http://schemas.openxmlformats.org/officeDocument/2006/relationships/hyperlink" Target="https://www.youtube.com/watch?v=ihEmEcOi2Xc" TargetMode="External"/><Relationship Id="rId701" Type="http://schemas.openxmlformats.org/officeDocument/2006/relationships/hyperlink" Target="https://takeuforward.org/data-structure/implement-stack-using-single-queue/" TargetMode="External"/><Relationship Id="rId702" Type="http://schemas.openxmlformats.org/officeDocument/2006/relationships/hyperlink" Target="https://leetcode.com/problems/implement-stack-using-queues/" TargetMode="External"/><Relationship Id="rId703" Type="http://schemas.openxmlformats.org/officeDocument/2006/relationships/hyperlink" Target="https://www.geeksforgeeks.org/problems/stack-using-two-queues/1" TargetMode="External"/><Relationship Id="rId704" Type="http://schemas.openxmlformats.org/officeDocument/2006/relationships/hyperlink" Target="https://www.youtube.com/watch?v=jDZQKzEtbYQ" TargetMode="External"/><Relationship Id="rId705" Type="http://schemas.openxmlformats.org/officeDocument/2006/relationships/hyperlink" Target="https://takeuforward.org/data-structure/implement-queue-using-stack/" TargetMode="External"/><Relationship Id="rId706" Type="http://schemas.openxmlformats.org/officeDocument/2006/relationships/hyperlink" Target="https://leetcode.com/problems/implement-queue-using-stacks/" TargetMode="External"/><Relationship Id="rId707" Type="http://schemas.openxmlformats.org/officeDocument/2006/relationships/hyperlink" Target="https://www.geeksforgeeks.org/problems/queue-using-two-stacks/1" TargetMode="External"/><Relationship Id="rId708" Type="http://schemas.openxmlformats.org/officeDocument/2006/relationships/hyperlink" Target="https://www.youtube.com/watch?v=3Et9kqQ0Gb4" TargetMode="External"/><Relationship Id="rId709" Type="http://schemas.openxmlformats.org/officeDocument/2006/relationships/hyperlink" Target="https://takeuforward.org/data-structure/sum-of-subarray-minimums/" TargetMode="External"/><Relationship Id="rId710" Type="http://schemas.openxmlformats.org/officeDocument/2006/relationships/hyperlink" Target="https://leetcode.com/problems/sum-of-subarray-minimums/" TargetMode="External"/><Relationship Id="rId711" Type="http://schemas.openxmlformats.org/officeDocument/2006/relationships/hyperlink" Target="https://www.geeksforgeeks.org/problems/sum-of-subarray-minimums/1" TargetMode="External"/><Relationship Id="rId712" Type="http://schemas.openxmlformats.org/officeDocument/2006/relationships/hyperlink" Target="https://www.youtube.com/watch?v=v0e8p9JZgZg" TargetMode="External"/><Relationship Id="rId713" Type="http://schemas.openxmlformats.org/officeDocument/2006/relationships/hyperlink" Target="https://takeuforward.org/data-structure/n-meetings-in-one-room/" TargetMode="External"/><Relationship Id="rId714" Type="http://schemas.openxmlformats.org/officeDocument/2006/relationships/hyperlink" Target="https://leetcode.com/problems/non-overlapping-intervals/" TargetMode="External"/><Relationship Id="rId715" Type="http://schemas.openxmlformats.org/officeDocument/2006/relationships/hyperlink" Target="https://www.geeksforgeeks.org/problems/n-meetings-in-one-room-1587115620/1" TargetMode="External"/><Relationship Id="rId716" Type="http://schemas.openxmlformats.org/officeDocument/2006/relationships/hyperlink" Target="https://www.youtube.com/watch?v=II6ziNiky1A" TargetMode="External"/><Relationship Id="rId717" Type="http://schemas.openxmlformats.org/officeDocument/2006/relationships/hyperlink" Target="https://takeuforward.org/data-structure/activity-selection-problem/" TargetMode="External"/><Relationship Id="rId718" Type="http://schemas.openxmlformats.org/officeDocument/2006/relationships/hyperlink" Target="https://leetcode.com/problems/non-overlapping-intervals/" TargetMode="External"/><Relationship Id="rId719" Type="http://schemas.openxmlformats.org/officeDocument/2006/relationships/hyperlink" Target="https://www.geeksforgeeks.org/problems/activity-selection-1587115620/1" TargetMode="External"/><Relationship Id="rId720" Type="http://schemas.openxmlformats.org/officeDocument/2006/relationships/hyperlink" Target="https://www.youtube.com/watch?v=AsdB0m3yAhg" TargetMode="External"/><Relationship Id="rId721" Type="http://schemas.openxmlformats.org/officeDocument/2006/relationships/hyperlink" Target="https://takeuforward.org/data-structure/job-sequencing-problem/" TargetMode="External"/><Relationship Id="rId722" Type="http://schemas.openxmlformats.org/officeDocument/2006/relationships/hyperlink" Target="https://leetcode.com/problems/course-schedule-iii/" TargetMode="External"/><Relationship Id="rId723" Type="http://schemas.openxmlformats.org/officeDocument/2006/relationships/hyperlink" Target="https://www.geeksforgeeks.org/problems/job-sequencing-problem-1587115620/1" TargetMode="External"/><Relationship Id="rId724" Type="http://schemas.openxmlformats.org/officeDocument/2006/relationships/hyperlink" Target="https://www.youtube.com/watch?v=LjPx4wQaRIs" TargetMode="External"/><Relationship Id="rId725" Type="http://schemas.openxmlformats.org/officeDocument/2006/relationships/hyperlink" Target="https://takeuforward.org/data-structure/fractional-knapsack-problem-greedy-approach/" TargetMode="External"/><Relationship Id="rId726" Type="http://schemas.openxmlformats.org/officeDocument/2006/relationships/hyperlink" Target="https://leetcode.com/problems/maximum-units-on-a-truck/" TargetMode="External"/><Relationship Id="rId727" Type="http://schemas.openxmlformats.org/officeDocument/2006/relationships/hyperlink" Target="https://www.geeksforgeeks.org/problems/fractional-knapsack-1587115620/1" TargetMode="External"/><Relationship Id="rId728" Type="http://schemas.openxmlformats.org/officeDocument/2006/relationships/hyperlink" Target="https://www.youtube.com/watch?v=F_2ipFxg1gc" TargetMode="External"/><Relationship Id="rId729" Type="http://schemas.openxmlformats.org/officeDocument/2006/relationships/hyperlink" Target="https://takeuforward.org/data-structure/find-minimum-number-of-coins/" TargetMode="External"/><Relationship Id="rId730" Type="http://schemas.openxmlformats.org/officeDocument/2006/relationships/hyperlink" Target="https://leetcode.com/problems/coin-change/" TargetMode="External"/><Relationship Id="rId731" Type="http://schemas.openxmlformats.org/officeDocument/2006/relationships/hyperlink" Target="https://www.geeksforgeeks.org/problems/number-of-coins1824/1" TargetMode="External"/><Relationship Id="rId732" Type="http://schemas.openxmlformats.org/officeDocument/2006/relationships/hyperlink" Target="https://www.youtube.com/watch?v=y5Ky3D3_yW8" TargetMode="External"/><Relationship Id="rId733" Type="http://schemas.openxmlformats.org/officeDocument/2006/relationships/hyperlink" Target="https://takeuforward.org/data-structure/minimum-platforms-minimum-number-of-platforms-required-for-a-railway/" TargetMode="External"/><Relationship Id="rId734" Type="http://schemas.openxmlformats.org/officeDocument/2006/relationships/hyperlink" Target="https://leetcode.com/problems/minimum-number-of-arrows-to-burst-balloons/" TargetMode="External"/><Relationship Id="rId735" Type="http://schemas.openxmlformats.org/officeDocument/2006/relationships/hyperlink" Target="https://www.geeksforgeeks.org/problems/minimum-platforms-1587115620/1" TargetMode="External"/><Relationship Id="rId736" Type="http://schemas.openxmlformats.org/officeDocument/2006/relationships/hyperlink" Target="https://www.youtube.com/watch?v=dxVcMDI7vyI" TargetMode="External"/><Relationship Id="rId737" Type="http://schemas.openxmlformats.org/officeDocument/2006/relationships/hyperlink" Target="https://takeuforward.org/data-structure/lemonade-change-greedy-approach/" TargetMode="External"/><Relationship Id="rId738" Type="http://schemas.openxmlformats.org/officeDocument/2006/relationships/hyperlink" Target="https://leetcode.com/problems/lemonade-change/" TargetMode="External"/><Relationship Id="rId739" Type="http://schemas.openxmlformats.org/officeDocument/2006/relationships/hyperlink" Target="https://www.geeksforgeeks.org/problems/lemonade-change/1" TargetMode="External"/><Relationship Id="rId740" Type="http://schemas.openxmlformats.org/officeDocument/2006/relationships/hyperlink" Target="https://www.youtube.com/watch?v=n_tmibEhO6Q" TargetMode="External"/><Relationship Id="rId741" Type="http://schemas.openxmlformats.org/officeDocument/2006/relationships/hyperlink" Target="https://takeuforward.org/data-structure/assign-cookies/" TargetMode="External"/><Relationship Id="rId742" Type="http://schemas.openxmlformats.org/officeDocument/2006/relationships/hyperlink" Target="https://leetcode.com/problems/assign-cookies/" TargetMode="External"/><Relationship Id="rId743" Type="http://schemas.openxmlformats.org/officeDocument/2006/relationships/hyperlink" Target="https://www.geeksforgeeks.org/problems/assign-cookies/1" TargetMode="External"/><Relationship Id="rId744" Type="http://schemas.openxmlformats.org/officeDocument/2006/relationships/hyperlink" Target="https://www.youtube.com/watch?v=OY4_5WYcNE4" TargetMode="External"/><Relationship Id="rId745" Type="http://schemas.openxmlformats.org/officeDocument/2006/relationships/hyperlink" Target="https://takeuforward.org/data-structure/shortest-job-first-or-sjf-cpu-scheduling/" TargetMode="External"/><Relationship Id="rId746" Type="http://schemas.openxmlformats.org/officeDocument/2006/relationships/hyperlink" Target="https://leetcode.com/problems/average-waiting-time/" TargetMode="External"/><Relationship Id="rId747" Type="http://schemas.openxmlformats.org/officeDocument/2006/relationships/hyperlink" Target="https://www.geeksforgeeks.org/problems/shortest-job-first/1" TargetMode="External"/><Relationship Id="rId748" Type="http://schemas.openxmlformats.org/officeDocument/2006/relationships/hyperlink" Target="https://www.youtube.com/watch?v=3-EcW1EB0y8" TargetMode="External"/><Relationship Id="rId749" Type="http://schemas.openxmlformats.org/officeDocument/2006/relationships/hyperlink" Target="https://takeuforward.org/data-structure/page-faults-in-lru-greedy/" TargetMode="External"/><Relationship Id="rId750" Type="http://schemas.openxmlformats.org/officeDocument/2006/relationships/hyperlink" Target="https://leetcode.com/problems/lru-cache/" TargetMode="External"/><Relationship Id="rId751" Type="http://schemas.openxmlformats.org/officeDocument/2006/relationships/hyperlink" Target="https://www.geeksforgeeks.org/problems/page-faults-in-lru5656/1" TargetMode="External"/><Relationship Id="rId752" Type="http://schemas.openxmlformats.org/officeDocument/2006/relationships/hyperlink" Target="https://www.youtube.com/watch?v=nO3jFw2fUv4" TargetMode="External"/><Relationship Id="rId753" Type="http://schemas.openxmlformats.org/officeDocument/2006/relationships/hyperlink" Target="https://takeuforward.org/data-structure/jump-game-i/" TargetMode="External"/><Relationship Id="rId754" Type="http://schemas.openxmlformats.org/officeDocument/2006/relationships/hyperlink" Target="https://leetcode.com/problems/jump-game/" TargetMode="External"/><Relationship Id="rId755" Type="http://schemas.openxmlformats.org/officeDocument/2006/relationships/hyperlink" Target="https://www.geeksforgeeks.org/problems/jump-game/1" TargetMode="External"/><Relationship Id="rId756" Type="http://schemas.openxmlformats.org/officeDocument/2006/relationships/hyperlink" Target="https://www.youtube.com/watch?v=tZAa_jJ3zUA" TargetMode="External"/><Relationship Id="rId757" Type="http://schemas.openxmlformats.org/officeDocument/2006/relationships/hyperlink" Target="https://takeuforward.org/data-structure/jump-game-ii/" TargetMode="External"/><Relationship Id="rId758" Type="http://schemas.openxmlformats.org/officeDocument/2006/relationships/hyperlink" Target="https://leetcode.com/problems/jump-game-ii/" TargetMode="External"/><Relationship Id="rId759" Type="http://schemas.openxmlformats.org/officeDocument/2006/relationships/hyperlink" Target="https://www.geeksforgeeks.org/problems/minimum-number-of-jumps-1587115620/1" TargetMode="External"/><Relationship Id="rId760" Type="http://schemas.openxmlformats.org/officeDocument/2006/relationships/hyperlink" Target="https://www.youtube.com/watch?v=wL7e7jLIa5Y" TargetMode="External"/><Relationship Id="rId761" Type="http://schemas.openxmlformats.org/officeDocument/2006/relationships/hyperlink" Target="https://takeuforward.org/data-structure/candy-distribution-problem-greedy/" TargetMode="External"/><Relationship Id="rId762" Type="http://schemas.openxmlformats.org/officeDocument/2006/relationships/hyperlink" Target="https://leetcode.com/problems/candy/" TargetMode="External"/><Relationship Id="rId763" Type="http://schemas.openxmlformats.org/officeDocument/2006/relationships/hyperlink" Target="https://www.geeksforgeeks.org/problems/candy/1" TargetMode="External"/><Relationship Id="rId764" Type="http://schemas.openxmlformats.org/officeDocument/2006/relationships/hyperlink" Target="https://www.youtube.com/watch?v=h6_l70dYdQc" TargetMode="External"/><Relationship Id="rId765" Type="http://schemas.openxmlformats.org/officeDocument/2006/relationships/hyperlink" Target="https://takeuforward.org/data-structure/insert-interval/" TargetMode="External"/><Relationship Id="rId766" Type="http://schemas.openxmlformats.org/officeDocument/2006/relationships/hyperlink" Target="https://leetcode.com/problems/insert-interval/" TargetMode="External"/><Relationship Id="rId767" Type="http://schemas.openxmlformats.org/officeDocument/2006/relationships/hyperlink" Target="https://www.geeksforgeeks.org/problems/insert-interval-1666733333/1" TargetMode="External"/><Relationship Id="rId768" Type="http://schemas.openxmlformats.org/officeDocument/2006/relationships/hyperlink" Target="https://www.youtube.com/watch?v=xxRE-46b8wc" TargetMode="External"/><Relationship Id="rId769" Type="http://schemas.openxmlformats.org/officeDocument/2006/relationships/hyperlink" Target="https://takeuforward.org/data-structure/merge-overlapping-sub-intervals/" TargetMode="External"/><Relationship Id="rId770" Type="http://schemas.openxmlformats.org/officeDocument/2006/relationships/hyperlink" Target="https://leetcode.com/problems/merge-intervals/" TargetMode="External"/><Relationship Id="rId771" Type="http://schemas.openxmlformats.org/officeDocument/2006/relationships/hyperlink" Target="https://www.geeksforgeeks.org/problems/overlapping-intervals--170633/1" TargetMode="External"/><Relationship Id="rId772" Type="http://schemas.openxmlformats.org/officeDocument/2006/relationships/hyperlink" Target="https://www.youtube.com/watch?v=2JzRBPFYbKE" TargetMode="External"/><Relationship Id="rId773" Type="http://schemas.openxmlformats.org/officeDocument/2006/relationships/hyperlink" Target="https://takeuforward.org/data-structure/non-overlapping-intervals/" TargetMode="External"/><Relationship Id="rId774" Type="http://schemas.openxmlformats.org/officeDocument/2006/relationships/hyperlink" Target="https://leetcode.com/problems/non-overlapping-intervals/" TargetMode="External"/><Relationship Id="rId775" Type="http://schemas.openxmlformats.org/officeDocument/2006/relationships/hyperlink" Target="https://www.geeksforgeeks.org/problems/non-overlapping-intervals/1" TargetMode="External"/><Relationship Id="rId776" Type="http://schemas.openxmlformats.org/officeDocument/2006/relationships/hyperlink" Target="https://www.youtube.com/watch?v=HDHQ8lrfipg" TargetMode="External"/><Relationship Id="rId777" Type="http://schemas.openxmlformats.org/officeDocument/2006/relationships/hyperlink" Target="https://takeuforward.org/data-structure/find-minimum-number-of-arrows-to-burst-balloons/" TargetMode="External"/><Relationship Id="rId778" Type="http://schemas.openxmlformats.org/officeDocument/2006/relationships/hyperlink" Target="https://leetcode.com/problems/minimum-number-of-arrows-to-burst-balloons/" TargetMode="External"/><Relationship Id="rId779" Type="http://schemas.openxmlformats.org/officeDocument/2006/relationships/hyperlink" Target="https://www.geeksforgeeks.org/problems/burst-balloons/1" TargetMode="External"/><Relationship Id="rId780" Type="http://schemas.openxmlformats.org/officeDocument/2006/relationships/hyperlink" Target="https://www.youtube.com/watch?v=lPmkK1yrPkQ" TargetMode="External"/><Relationship Id="rId781" Type="http://schemas.openxmlformats.org/officeDocument/2006/relationships/hyperlink" Target="https://takeuforward.org/data-structure/huffman-coding-greedy/" TargetMode="External"/><Relationship Id="rId782" Type="http://schemas.openxmlformats.org/officeDocument/2006/relationships/hyperlink" Target="https://leetcode.com/problems/huffman-encoding/" TargetMode="External"/><Relationship Id="rId783" Type="http://schemas.openxmlformats.org/officeDocument/2006/relationships/hyperlink" Target="https://www.geeksforgeeks.org/problems/huffman-encoding3345/1" TargetMode="External"/><Relationship Id="rId784" Type="http://schemas.openxmlformats.org/officeDocument/2006/relationships/hyperlink" Target="https://www.youtube.com/watch?v=dM6us85gkB0" TargetMode="External"/><Relationship Id="rId785" Type="http://schemas.openxmlformats.org/officeDocument/2006/relationships/hyperlink" Target="https://takeuforward.org/data-structure/valid-palindrome-ii/" TargetMode="External"/><Relationship Id="rId786" Type="http://schemas.openxmlformats.org/officeDocument/2006/relationships/hyperlink" Target="https://leetcode.com/problems/valid-palindrome-ii/" TargetMode="External"/><Relationship Id="rId787" Type="http://schemas.openxmlformats.org/officeDocument/2006/relationships/hyperlink" Target="https://www.geeksforgeeks.org/problems/valid-palindrome-ii/1" TargetMode="External"/><Relationship Id="rId788" Type="http://schemas.openxmlformats.org/officeDocument/2006/relationships/hyperlink" Target="https://www.youtube.com/watch?v=L_75mZ488pE" TargetMode="External"/><Relationship Id="rId789" Type="http://schemas.openxmlformats.org/officeDocument/2006/relationships/hyperlink" Target="https://takeuforward.org/data-structure/maximum-length-of-pair-chain-greedy/" TargetMode="External"/><Relationship Id="rId790" Type="http://schemas.openxmlformats.org/officeDocument/2006/relationships/hyperlink" Target="https://leetcode.com/problems/maximum-length-of-pair-chain/" TargetMode="External"/><Relationship Id="rId791" Type="http://schemas.openxmlformats.org/officeDocument/2006/relationships/hyperlink" Target="https://www.geeksforgeeks.org/problems/maximum-length-of-pair-chain/1" TargetMode="External"/><Relationship Id="rId792" Type="http://schemas.openxmlformats.org/officeDocument/2006/relationships/hyperlink" Target="https://www.youtube.com/watch?v=uC575l3rIQA" TargetMode="External"/><Relationship Id="rId793" Type="http://schemas.openxmlformats.org/officeDocument/2006/relationships/hyperlink" Target="https://takeuforward.org/data-structure/inorder-traversal-of-binary-tree/" TargetMode="External"/><Relationship Id="rId794" Type="http://schemas.openxmlformats.org/officeDocument/2006/relationships/hyperlink" Target="https://leetcode.com/problems/binary-tree-inorder-traversal/" TargetMode="External"/><Relationship Id="rId795" Type="http://schemas.openxmlformats.org/officeDocument/2006/relationships/hyperlink" Target="https://www.geeksforgeeks.org/problems/inorder-traversal/1" TargetMode="External"/><Relationship Id="rId796" Type="http://schemas.openxmlformats.org/officeDocument/2006/relationships/hyperlink" Target="https://www.youtube.com/watch?v=Z_NEgOB8LHc" TargetMode="External"/><Relationship Id="rId797" Type="http://schemas.openxmlformats.org/officeDocument/2006/relationships/hyperlink" Target="https://takeuforward.org/data-structure/preorder-traversal-of-binary-tree/" TargetMode="External"/><Relationship Id="rId798" Type="http://schemas.openxmlformats.org/officeDocument/2006/relationships/hyperlink" Target="https://leetcode.com/problems/binary-tree-preorder-traversal/" TargetMode="External"/><Relationship Id="rId799" Type="http://schemas.openxmlformats.org/officeDocument/2006/relationships/hyperlink" Target="https://www.geeksforgeeks.org/problems/preorder-traversal/1" TargetMode="External"/><Relationship Id="rId800" Type="http://schemas.openxmlformats.org/officeDocument/2006/relationships/hyperlink" Target="https://www.youtube.com/watch?v=RlUuClWGb88" TargetMode="External"/><Relationship Id="rId801" Type="http://schemas.openxmlformats.org/officeDocument/2006/relationships/hyperlink" Target="https://takeuforward.org/data-structure/postorder-traversal-of-binary-tree/" TargetMode="External"/><Relationship Id="rId802" Type="http://schemas.openxmlformats.org/officeDocument/2006/relationships/hyperlink" Target="https://leetcode.com/problems/binary-tree-postorder-traversal/" TargetMode="External"/><Relationship Id="rId803" Type="http://schemas.openxmlformats.org/officeDocument/2006/relationships/hyperlink" Target="https://www.geeksforgeeks.org/problems/postorder-traversal/1" TargetMode="External"/><Relationship Id="rId804" Type="http://schemas.openxmlformats.org/officeDocument/2006/relationships/hyperlink" Target="https://www.youtube.com/watch?v=COQqyFbhA2c" TargetMode="External"/><Relationship Id="rId805" Type="http://schemas.openxmlformats.org/officeDocument/2006/relationships/hyperlink" Target="https://takeuforward.org/data-structure/level-order-traversal-of-binary-tree/" TargetMode="External"/><Relationship Id="rId806" Type="http://schemas.openxmlformats.org/officeDocument/2006/relationships/hyperlink" Target="https://leetcode.com/problems/binary-tree-level-order-traversal/" TargetMode="External"/><Relationship Id="rId807" Type="http://schemas.openxmlformats.org/officeDocument/2006/relationships/hyperlink" Target="https://www.geeksforgeeks.org/problems/level-order-traversal/1" TargetMode="External"/><Relationship Id="rId808" Type="http://schemas.openxmlformats.org/officeDocument/2006/relationships/hyperlink" Target="https://www.youtube.com/watch?v=EoAsA1bZaSI" TargetMode="External"/><Relationship Id="rId809" Type="http://schemas.openxmlformats.org/officeDocument/2006/relationships/hyperlink" Target="https://takeuforward.org/data-structure/find-the-maximum-depth-of-a-binary-tree/" TargetMode="External"/><Relationship Id="rId810" Type="http://schemas.openxmlformats.org/officeDocument/2006/relationships/hyperlink" Target="https://leetcode.com/problems/maximum-depth-of-binary-tree/" TargetMode="External"/><Relationship Id="rId811" Type="http://schemas.openxmlformats.org/officeDocument/2006/relationships/hyperlink" Target="https://www.geeksforgeeks.org/problems/height-of-binary-tree/1" TargetMode="External"/><Relationship Id="rId812" Type="http://schemas.openxmlformats.org/officeDocument/2006/relationships/hyperlink" Target="https://www.youtube.com/watch?v=eD3tmO66aSE" TargetMode="External"/><Relationship Id="rId813" Type="http://schemas.openxmlformats.org/officeDocument/2006/relationships/hyperlink" Target="https://takeuforward.org/data-structure/calculate-the-diameter-of-a-binary-tree/" TargetMode="External"/><Relationship Id="rId814" Type="http://schemas.openxmlformats.org/officeDocument/2006/relationships/hyperlink" Target="https://leetcode.com/problems/diameter-of-binary-tree/" TargetMode="External"/><Relationship Id="rId815" Type="http://schemas.openxmlformats.org/officeDocument/2006/relationships/hyperlink" Target="https://www.geeksforgeeks.org/problems/diameter-of-binary-tree/1" TargetMode="External"/><Relationship Id="rId816" Type="http://schemas.openxmlformats.org/officeDocument/2006/relationships/hyperlink" Target="https://www.youtube.com/watch?v=Rezetez59Nk" TargetMode="External"/><Relationship Id="rId817" Type="http://schemas.openxmlformats.org/officeDocument/2006/relationships/hyperlink" Target="https://takeuforward.org/data-structure/check-if-the-binary-tree-is-balanced-binary-tree/" TargetMode="External"/><Relationship Id="rId818" Type="http://schemas.openxmlformats.org/officeDocument/2006/relationships/hyperlink" Target="https://leetcode.com/problems/balanced-binary-tree/" TargetMode="External"/><Relationship Id="rId819" Type="http://schemas.openxmlformats.org/officeDocument/2006/relationships/hyperlink" Target="https://www.geeksforgeeks.org/problems/balanced-tree/1" TargetMode="External"/><Relationship Id="rId820" Type="http://schemas.openxmlformats.org/officeDocument/2006/relationships/hyperlink" Target="https://www.youtube.com/watch?v=Yt50Jfbd8Po" TargetMode="External"/><Relationship Id="rId821" Type="http://schemas.openxmlformats.org/officeDocument/2006/relationships/hyperlink" Target="https://takeuforward.org/data-structure/lowest-common-ancestor-for-two-given-nodes/" TargetMode="External"/><Relationship Id="rId822" Type="http://schemas.openxmlformats.org/officeDocument/2006/relationships/hyperlink" Target="https://leetcode.com/problems/lowest-common-ancestor-of-a-binary-tree/" TargetMode="External"/><Relationship Id="rId823" Type="http://schemas.openxmlformats.org/officeDocument/2006/relationships/hyperlink" Target="https://www.geeksforgeeks.org/problems/lowest-common-ancestor-in-a-binary-tree/1" TargetMode="External"/><Relationship Id="rId824" Type="http://schemas.openxmlformats.org/officeDocument/2006/relationships/hyperlink" Target="https://www.youtube.com/watch?v=_-QHfMDde90" TargetMode="External"/><Relationship Id="rId825" Type="http://schemas.openxmlformats.org/officeDocument/2006/relationships/hyperlink" Target="https://takeuforward.org/data-structure/check-if-two-trees-are-identical/" TargetMode="External"/><Relationship Id="rId826" Type="http://schemas.openxmlformats.org/officeDocument/2006/relationships/hyperlink" Target="https://leetcode.com/problems/same-tree/" TargetMode="External"/><Relationship Id="rId827" Type="http://schemas.openxmlformats.org/officeDocument/2006/relationships/hyperlink" Target="https://www.geeksforgeeks.org/problems/determine-if-two-trees-are-identical/1" TargetMode="External"/><Relationship Id="rId828" Type="http://schemas.openxmlformats.org/officeDocument/2006/relationships/hyperlink" Target="https://www.youtube.com/watch?v=BhuvF_-PWS0" TargetMode="External"/><Relationship Id="rId829" Type="http://schemas.openxmlformats.org/officeDocument/2006/relationships/hyperlink" Target="https://takeuforward.org/data-structure/check-for-symmetrical-binary-tree/" TargetMode="External"/><Relationship Id="rId830" Type="http://schemas.openxmlformats.org/officeDocument/2006/relationships/hyperlink" Target="https://leetcode.com/problems/symmetric-tree/" TargetMode="External"/><Relationship Id="rId831" Type="http://schemas.openxmlformats.org/officeDocument/2006/relationships/hyperlink" Target="https://www.geeksforgeeks.org/problems/symmetric-tree/1" TargetMode="External"/><Relationship Id="rId832" Type="http://schemas.openxmlformats.org/officeDocument/2006/relationships/hyperlink" Target="https://www.youtube.com/watch?v=nKggNAiJsAE" TargetMode="External"/><Relationship Id="rId833" Type="http://schemas.openxmlformats.org/officeDocument/2006/relationships/hyperlink" Target="https://takeuforward.org/data-structure/zigzag-spiral-traversal-of-binary-tree/" TargetMode="External"/><Relationship Id="rId834" Type="http://schemas.openxmlformats.org/officeDocument/2006/relationships/hyperlink" Target="https://leetcode.com/problems/binary-tree-zigzag-level-order-traversal/" TargetMode="External"/><Relationship Id="rId835" Type="http://schemas.openxmlformats.org/officeDocument/2006/relationships/hyperlink" Target="https://www.geeksforgeeks.org/problems/zigzag-tree-traversal/1" TargetMode="External"/><Relationship Id="rId836" Type="http://schemas.openxmlformats.org/officeDocument/2006/relationships/hyperlink" Target="https://www.youtube.com/watch?v=3OXWEdlIGK4" TargetMode="External"/><Relationship Id="rId837" Type="http://schemas.openxmlformats.org/officeDocument/2006/relationships/hyperlink" Target="https://takeuforward.org/data-structure/boundary-traversal-of-binary-tree/" TargetMode="External"/><Relationship Id="rId838" Type="http://schemas.openxmlformats.org/officeDocument/2006/relationships/hyperlink" Target="https://leetcode.com/problems/boundary-of-binary-tree/" TargetMode="External"/><Relationship Id="rId839" Type="http://schemas.openxmlformats.org/officeDocument/2006/relationships/hyperlink" Target="https://www.geeksforgeeks.org/problems/boundary-traversal-of-binary-tree/1" TargetMode="External"/><Relationship Id="rId840" Type="http://schemas.openxmlformats.org/officeDocument/2006/relationships/hyperlink" Target="https://www.youtube.com/watch?v=0vi5ux9XM2o" TargetMode="External"/><Relationship Id="rId841" Type="http://schemas.openxmlformats.org/officeDocument/2006/relationships/hyperlink" Target="https://takeuforward.org/data-structure/vertical-order-traversal-of-binary-tree/" TargetMode="External"/><Relationship Id="rId842" Type="http://schemas.openxmlformats.org/officeDocument/2006/relationships/hyperlink" Target="https://leetcode.com/problems/vertical-order-traversal-of-a-binary-tree/" TargetMode="External"/><Relationship Id="rId843" Type="http://schemas.openxmlformats.org/officeDocument/2006/relationships/hyperlink" Target="https://www.geeksforgeeks.org/problems/print-a-binary-tree-in-vertical-order/1" TargetMode="External"/><Relationship Id="rId844" Type="http://schemas.openxmlformats.org/officeDocument/2006/relationships/hyperlink" Target="https://www.youtube.com/watch?v=q_a6lPb9sGY" TargetMode="External"/><Relationship Id="rId845" Type="http://schemas.openxmlformats.org/officeDocument/2006/relationships/hyperlink" Target="https://takeuforward.org/data-structure/top-view-of-binary-tree/" TargetMode="External"/><Relationship Id="rId846" Type="http://schemas.openxmlformats.org/officeDocument/2006/relationships/hyperlink" Target="https://leetcode.com/problems/vertical-order-traversal-of-a-binary-tree/" TargetMode="External"/><Relationship Id="rId847" Type="http://schemas.openxmlformats.org/officeDocument/2006/relationships/hyperlink" Target="https://www.geeksforgeeks.org/problems/top-view-of-binary-tree/1" TargetMode="External"/><Relationship Id="rId848" Type="http://schemas.openxmlformats.org/officeDocument/2006/relationships/hyperlink" Target="https://www.youtube.com/watch?v=c3SClgJHAtc" TargetMode="External"/><Relationship Id="rId849" Type="http://schemas.openxmlformats.org/officeDocument/2006/relationships/hyperlink" Target="https://takeuforward.org/data-structure/bottom-view-of-binary-tree/" TargetMode="External"/><Relationship Id="rId850" Type="http://schemas.openxmlformats.org/officeDocument/2006/relationships/hyperlink" Target="https://leetcode.com/problems/vertical-order-traversal-of-a-binary-tree/" TargetMode="External"/><Relationship Id="rId851" Type="http://schemas.openxmlformats.org/officeDocument/2006/relationships/hyperlink" Target="https://www.geeksforgeeks.org/problems/bottom-view-of-binary-tree/1" TargetMode="External"/><Relationship Id="rId852" Type="http://schemas.openxmlformats.org/officeDocument/2006/relationships/hyperlink" Target="https://www.youtube.com/watch?v=0FtVYRk4C4g" TargetMode="External"/><Relationship Id="rId853" Type="http://schemas.openxmlformats.org/officeDocument/2006/relationships/hyperlink" Target="https://takeuforward.org/data-structure/right-left-view-of-binary-tree/" TargetMode="External"/><Relationship Id="rId854" Type="http://schemas.openxmlformats.org/officeDocument/2006/relationships/hyperlink" Target="https://leetcode.com/problems/binary-tree-right-side-view/" TargetMode="External"/><Relationship Id="rId855" Type="http://schemas.openxmlformats.org/officeDocument/2006/relationships/hyperlink" Target="https://www.geeksforgeeks.org/problems/right-view-of-binary-tree/1" TargetMode="External"/><Relationship Id="rId856" Type="http://schemas.openxmlformats.org/officeDocument/2006/relationships/hyperlink" Target="https://www.youtube.com/watch?v=KV4mRzT37dE" TargetMode="External"/><Relationship Id="rId857" Type="http://schemas.openxmlformats.org/officeDocument/2006/relationships/hyperlink" Target="https://takeuforward.org/data-structure/children-sum-property-in-binary-tree/" TargetMode="External"/><Relationship Id="rId858" Type="http://schemas.openxmlformats.org/officeDocument/2006/relationships/hyperlink" Target="https://leetcode.com/problems/root-equals-sum-of-children/" TargetMode="External"/><Relationship Id="rId859" Type="http://schemas.openxmlformats.org/officeDocument/2006/relationships/hyperlink" Target="https://www.geeksforgeeks.org/problems/children-sum-parent/1" TargetMode="External"/><Relationship Id="rId860" Type="http://schemas.openxmlformats.org/officeDocument/2006/relationships/hyperlink" Target="https://www.youtube.com/watch?v=fnmisDF6S3g" TargetMode="External"/><Relationship Id="rId861" Type="http://schemas.openxmlformats.org/officeDocument/2006/relationships/hyperlink" Target="https://takeuforward.org/data-structure/construct-a-binary-tree-from-inorder-and-preorder-traversal/" TargetMode="External"/><Relationship Id="rId862" Type="http://schemas.openxmlformats.org/officeDocument/2006/relationships/hyperlink" Target="https://leetcode.com/problems/construct-binary-tree-from-preorder-and-inorder-traversal/" TargetMode="External"/><Relationship Id="rId863" Type="http://schemas.openxmlformats.org/officeDocument/2006/relationships/hyperlink" Target="https://www.geeksforgeeks.org/problems/construct-tree-1/1" TargetMode="External"/><Relationship Id="rId864" Type="http://schemas.openxmlformats.org/officeDocument/2006/relationships/hyperlink" Target="https://www.youtube.com/watch?v=aZNaLrVebKQ" TargetMode="External"/><Relationship Id="rId865" Type="http://schemas.openxmlformats.org/officeDocument/2006/relationships/hyperlink" Target="https://takeuforward.org/data-structure/construct-binary-tree-from-inorder-and-postorder-traversal/" TargetMode="External"/><Relationship Id="rId866" Type="http://schemas.openxmlformats.org/officeDocument/2006/relationships/hyperlink" Target="https://leetcode.com/problems/construct-binary-tree-from-inorder-and-postorder-traversal/" TargetMode="External"/><Relationship Id="rId867" Type="http://schemas.openxmlformats.org/officeDocument/2006/relationships/hyperlink" Target="https://www.geeksforgeeks.org/problems/build-tree-from-inorder-and-postorder/1" TargetMode="External"/><Relationship Id="rId868" Type="http://schemas.openxmlformats.org/officeDocument/2006/relationships/hyperlink" Target="https://www.youtube.com/watch?v=LgLCOPhGxT4" TargetMode="External"/><Relationship Id="rId869" Type="http://schemas.openxmlformats.org/officeDocument/2006/relationships/hyperlink" Target="https://takeuforward.org/data-structure/check-for-symmetrical-binary-tree/" TargetMode="External"/><Relationship Id="rId870" Type="http://schemas.openxmlformats.org/officeDocument/2006/relationships/hyperlink" Target="https://leetcode.com/problems/symmetric-tree/" TargetMode="External"/><Relationship Id="rId871" Type="http://schemas.openxmlformats.org/officeDocument/2006/relationships/hyperlink" Target="https://www.geeksforgeeks.org/problems/symmetric-tree/1" TargetMode="External"/><Relationship Id="rId872" Type="http://schemas.openxmlformats.org/officeDocument/2006/relationships/hyperlink" Target="https://www.youtube.com/watch?v=nKggNAiJsAE" TargetMode="External"/><Relationship Id="rId873" Type="http://schemas.openxmlformats.org/officeDocument/2006/relationships/hyperlink" Target="https://takeuforward.org/data-structure/maximum-width-of-a-binary-tree/" TargetMode="External"/><Relationship Id="rId874" Type="http://schemas.openxmlformats.org/officeDocument/2006/relationships/hyperlink" Target="https://leetcode.com/problems/binary-tree-maximum-path-sum/" TargetMode="External"/><Relationship Id="rId875" Type="http://schemas.openxmlformats.org/officeDocument/2006/relationships/hyperlink" Target="https://www.geeksforgeeks.org/problems/maximum-path-sum-from-any-node/1" TargetMode="External"/><Relationship Id="rId876" Type="http://schemas.openxmlformats.org/officeDocument/2006/relationships/hyperlink" Target="https://www.youtube.com/watch?v=To3FkYi1mQQ" TargetMode="External"/><Relationship Id="rId877" Type="http://schemas.openxmlformats.org/officeDocument/2006/relationships/hyperlink" Target="https://takeuforward.org/data-structure/maximum-width-of-a-binary-tree/" TargetMode="External"/><Relationship Id="rId878" Type="http://schemas.openxmlformats.org/officeDocument/2006/relationships/hyperlink" Target="https://leetcode.com/problems/maximum-width-of-binary-tree/" TargetMode="External"/><Relationship Id="rId879" Type="http://schemas.openxmlformats.org/officeDocument/2006/relationships/hyperlink" Target="https://www.geeksforgeeks.org/problems/maximum-width-of-foldable-double-linked-list/1" TargetMode="External"/><Relationship Id="rId880" Type="http://schemas.openxmlformats.org/officeDocument/2006/relationships/hyperlink" Target="https://www.youtube.com/watch?v=ZbybYvcVLks" TargetMode="External"/><Relationship Id="rId881" Type="http://schemas.openxmlformats.org/officeDocument/2006/relationships/hyperlink" Target="https://takeuforward.org/data-structure/nodes-at-distance-k-in-binary-tree/" TargetMode="External"/><Relationship Id="rId882" Type="http://schemas.openxmlformats.org/officeDocument/2006/relationships/hyperlink" Target="https://leetcode.com/problems/all-nodes-distance-k-in-binary-tree/" TargetMode="External"/><Relationship Id="rId883" Type="http://schemas.openxmlformats.org/officeDocument/2006/relationships/hyperlink" Target="https://www.geeksforgeeks.org/problems/nodes-at-given-distance-in-binary-tree/1" TargetMode="External"/><Relationship Id="rId884" Type="http://schemas.openxmlformats.org/officeDocument/2006/relationships/hyperlink" Target="https://www.youtube.com/watch?v=i9ORlEy6EsI" TargetMode="External"/><Relationship Id="rId885" Type="http://schemas.openxmlformats.org/officeDocument/2006/relationships/hyperlink" Target="https://takeuforward.org/data-structure/flatten-binary-tree-to-linked-list/" TargetMode="External"/><Relationship Id="rId886" Type="http://schemas.openxmlformats.org/officeDocument/2006/relationships/hyperlink" Target="https://leetcode.com/problems/flatten-binary-tree-to-linked-list/" TargetMode="External"/><Relationship Id="rId887" Type="http://schemas.openxmlformats.org/officeDocument/2006/relationships/hyperlink" Target="https://www.geeksforgeeks.org/problems/flatten-binary-tree-to-linked-list/1" TargetMode="External"/><Relationship Id="rId888" Type="http://schemas.openxmlformats.org/officeDocument/2006/relationships/hyperlink" Target="https://www.youtube.com/watch?v=sWfApY13yMX" TargetMode="External"/><Relationship Id="rId889" Type="http://schemas.openxmlformats.org/officeDocument/2006/relationships/hyperlink" Target="https://takeuforward.org/data-structure/serialize-and-deserialize-a-binary-tree/" TargetMode="External"/><Relationship Id="rId890" Type="http://schemas.openxmlformats.org/officeDocument/2006/relationships/hyperlink" Target="https://leetcode.com/problems/serialize-and-deserialize-binary-tree/" TargetMode="External"/><Relationship Id="rId891" Type="http://schemas.openxmlformats.org/officeDocument/2006/relationships/hyperlink" Target="https://www.geeksforgeeks.org/problems/serialize-and-deserialize-a-binary-tree/1" TargetMode="External"/><Relationship Id="rId892" Type="http://schemas.openxmlformats.org/officeDocument/2006/relationships/hyperlink" Target="https://www.youtube.com/watch?v=-YbXySKJsX8" TargetMode="External"/><Relationship Id="rId893" Type="http://schemas.openxmlformats.org/officeDocument/2006/relationships/hyperlink" Target="https://takeuforward.org/data-structure/search-in-a-binary-search-tree-bst/" TargetMode="External"/><Relationship Id="rId894" Type="http://schemas.openxmlformats.org/officeDocument/2006/relationships/hyperlink" Target="https://leetcode.com/problems/search-in-a-binary-search-tree/" TargetMode="External"/><Relationship Id="rId895" Type="http://schemas.openxmlformats.org/officeDocument/2006/relationships/hyperlink" Target="https://www.geeksforgeeks.org/problems/search-a-node-in-bst/1" TargetMode="External"/><Relationship Id="rId896" Type="http://schemas.openxmlformats.org/officeDocument/2006/relationships/hyperlink" Target="https://www.youtube.com/watch?v=KcNt6v_56cc" TargetMode="External"/><Relationship Id="rId897" Type="http://schemas.openxmlformats.org/officeDocument/2006/relationships/hyperlink" Target="https://takeuforward.org/data-structure/find-minimum-and-maximum-in-binary-search-tree/" TargetMode="External"/><Relationship Id="rId898" Type="http://schemas.openxmlformats.org/officeDocument/2006/relationships/hyperlink" Target="https://leetcode.com/problems/minimum-absolute-difference-in-bst/" TargetMode="External"/><Relationship Id="rId899" Type="http://schemas.openxmlformats.org/officeDocument/2006/relationships/hyperlink" Target="https://www.geeksforgeeks.org/problems/minimum-element-in-bst/1" TargetMode="External"/><Relationship Id="rId900" Type="http://schemas.openxmlformats.org/officeDocument/2006/relationships/hyperlink" Target="https://www.youtube.com/watch?v=KcNt6v_56cc" TargetMode="External"/><Relationship Id="rId901" Type="http://schemas.openxmlformats.org/officeDocument/2006/relationships/hyperlink" Target="https://takeuforward.org/data-structure/insert-a-node-in-binary-search-tree/" TargetMode="External"/><Relationship Id="rId902" Type="http://schemas.openxmlformats.org/officeDocument/2006/relationships/hyperlink" Target="https://leetcode.com/problems/insert-into-a-binary-search-tree/" TargetMode="External"/><Relationship Id="rId903" Type="http://schemas.openxmlformats.org/officeDocument/2006/relationships/hyperlink" Target="https://www.geeksforgeeks.org/problems/insert-a-node-in-a-bst/1" TargetMode="External"/><Relationship Id="rId904" Type="http://schemas.openxmlformats.org/officeDocument/2006/relationships/hyperlink" Target="https://www.youtube.com/watch?v=FiFiNvM29ps" TargetMode="External"/><Relationship Id="rId905" Type="http://schemas.openxmlformats.org/officeDocument/2006/relationships/hyperlink" Target="https://takeuforward.org/data-structure/delete-a-node-in-binary-search-tree/" TargetMode="External"/><Relationship Id="rId906" Type="http://schemas.openxmlformats.org/officeDocument/2006/relationships/hyperlink" Target="https://leetcode.com/problems/delete-node-in-a-bst/" TargetMode="External"/><Relationship Id="rId907" Type="http://schemas.openxmlformats.org/officeDocument/2006/relationships/hyperlink" Target="https://www.geeksforgeeks.org/problems/delete-a-node-from-bst/1" TargetMode="External"/><Relationship Id="rId908" Type="http://schemas.openxmlformats.org/officeDocument/2006/relationships/hyperlink" Target="https://www.youtube.com/watch?v=kouxiP_H5rA" TargetMode="External"/><Relationship Id="rId909" Type="http://schemas.openxmlformats.org/officeDocument/2006/relationships/hyperlink" Target="https://takeuforward.org/data-structure/check-if-a-binary-tree-is-bst-or-not/" TargetMode="External"/><Relationship Id="rId910" Type="http://schemas.openxmlformats.org/officeDocument/2006/relationships/hyperlink" Target="https://leetcode.com/problems/validate-binary-search-tree/" TargetMode="External"/><Relationship Id="rId911" Type="http://schemas.openxmlformats.org/officeDocument/2006/relationships/hyperlink" Target="https://www.geeksforgeeks.org/problems/check-for-bst/1" TargetMode="External"/><Relationship Id="rId912" Type="http://schemas.openxmlformats.org/officeDocument/2006/relationships/hyperlink" Target="https://www.youtube.com/watch?v=f-sj7I5o2AM" TargetMode="External"/><Relationship Id="rId913" Type="http://schemas.openxmlformats.org/officeDocument/2006/relationships/hyperlink" Target="https://takeuforward.org/data-structure/lowest-common-ancestor-of-a-binary-search-tree/" TargetMode="External"/><Relationship Id="rId914" Type="http://schemas.openxmlformats.org/officeDocument/2006/relationships/hyperlink" Target="https://leetcode.com/problems/lowest-common-ancestor-of-a-binary-search-tree/" TargetMode="External"/><Relationship Id="rId915" Type="http://schemas.openxmlformats.org/officeDocument/2006/relationships/hyperlink" Target="https://www.geeksforgeeks.org/problems/lowest-common-ancestor-in-a-bst/1" TargetMode="External"/><Relationship Id="rId916" Type="http://schemas.openxmlformats.org/officeDocument/2006/relationships/hyperlink" Target="https://www.youtube.com/watch?v=cX_kPV_yZ3U" TargetMode="External"/><Relationship Id="rId917" Type="http://schemas.openxmlformats.org/officeDocument/2006/relationships/hyperlink" Target="https://takeuforward.org/data-structure/construct-binary-search-tree-from-preorder-traversal/" TargetMode="External"/><Relationship Id="rId918" Type="http://schemas.openxmlformats.org/officeDocument/2006/relationships/hyperlink" Target="https://leetcode.com/problems/construct-binary-search-tree-from-preorder-traversal/" TargetMode="External"/><Relationship Id="rId919" Type="http://schemas.openxmlformats.org/officeDocument/2006/relationships/hyperlink" Target="https://www.geeksforgeeks.org/problems/preorder-to-postorder4423/1" TargetMode="External"/><Relationship Id="rId920" Type="http://schemas.openxmlformats.org/officeDocument/2006/relationships/hyperlink" Target="https://www.youtube.com/watch?v=UmJT3j26t1I" TargetMode="External"/><Relationship Id="rId921" Type="http://schemas.openxmlformats.org/officeDocument/2006/relationships/hyperlink" Target="https://takeuforward.org/data-structure/kth-largest-smallest-element-in-binary-search-tree/" TargetMode="External"/><Relationship Id="rId922" Type="http://schemas.openxmlformats.org/officeDocument/2006/relationships/hyperlink" Target="https://leetcode.com/problems/kth-smallest-element-in-a-bst/" TargetMode="External"/><Relationship Id="rId923" Type="http://schemas.openxmlformats.org/officeDocument/2006/relationships/hyperlink" Target="https://www.geeksforgeeks.org/problems/find-k-th-smallest-element-in-bst/1" TargetMode="External"/><Relationship Id="rId924" Type="http://schemas.openxmlformats.org/officeDocument/2006/relationships/hyperlink" Target="https://www.youtube.com/watch?v=9TJYWh0AdyU" TargetMode="External"/><Relationship Id="rId925" Type="http://schemas.openxmlformats.org/officeDocument/2006/relationships/hyperlink" Target="https://takeuforward.org/data-structure/two-sum-iv-check-if-there-exists-a-pair-with-sum-k-in-bst/" TargetMode="External"/><Relationship Id="rId926" Type="http://schemas.openxmlformats.org/officeDocument/2006/relationships/hyperlink" Target="https://leetcode.com/problems/two-sum-iv-input-is-a-bst/" TargetMode="External"/><Relationship Id="rId927" Type="http://schemas.openxmlformats.org/officeDocument/2006/relationships/hyperlink" Target="https://www.geeksforgeeks.org/problems/find-a-pair-with-given-target-in-bst/1" TargetMode="External"/><Relationship Id="rId928" Type="http://schemas.openxmlformats.org/officeDocument/2006/relationships/hyperlink" Target="https://www.youtube.com/watch?v=ssL3s_w234Y" TargetMode="External"/><Relationship Id="rId929" Type="http://schemas.openxmlformats.org/officeDocument/2006/relationships/hyperlink" Target="https://takeuforward.org/data-structure/binary-search-tree-iterator/" TargetMode="External"/><Relationship Id="rId930" Type="http://schemas.openxmlformats.org/officeDocument/2006/relationships/hyperlink" Target="https://leetcode.com/problems/binary-search-tree-iterator/" TargetMode="External"/><Relationship Id="rId931" Type="http://schemas.openxmlformats.org/officeDocument/2006/relationships/hyperlink" Target="https://www.geeksforgeeks.org/problems/iterator-for-bst/1" TargetMode="External"/><Relationship Id="rId932" Type="http://schemas.openxmlformats.org/officeDocument/2006/relationships/hyperlink" Target="https://www.youtube.com/watch?v=D2jMuv86yZs" TargetMode="External"/><Relationship Id="rId933" Type="http://schemas.openxmlformats.org/officeDocument/2006/relationships/hyperlink" Target="https://takeuforward.org/data-structure/inorder-successor-predecessor-in-bst/" TargetMode="External"/><Relationship Id="rId934" Type="http://schemas.openxmlformats.org/officeDocument/2006/relationships/hyperlink" Target="https://leetcode.com/problems/inorder-successor-in-bst/" TargetMode="External"/><Relationship Id="rId935" Type="http://schemas.openxmlformats.org/officeDocument/2006/relationships/hyperlink" Target="https://www.geeksforgeeks.org/problems/inorder-successor-in-bst/1" TargetMode="External"/><Relationship Id="rId936" Type="http://schemas.openxmlformats.org/officeDocument/2006/relationships/hyperlink" Target="https://www.youtube.com/watch?v=SXKAD2svfmI" TargetMode="External"/><Relationship Id="rId937" Type="http://schemas.openxmlformats.org/officeDocument/2006/relationships/hyperlink" Target="https://takeuforward.org/data-structure/recover-bst-correct-bst-with-two-nodes-swapped/" TargetMode="External"/><Relationship Id="rId938" Type="http://schemas.openxmlformats.org/officeDocument/2006/relationships/hyperlink" Target="https://leetcode.com/problems/recover-binary-search-tree/" TargetMode="External"/><Relationship Id="rId939" Type="http://schemas.openxmlformats.org/officeDocument/2006/relationships/hyperlink" Target="https://www.geeksforgeeks.org/problems/fix-two-nodes-of-a-bst/1" TargetMode="External"/><Relationship Id="rId940" Type="http://schemas.openxmlformats.org/officeDocument/2006/relationships/hyperlink" Target="https://www.youtube.com/watch?v=ZWGW7FminDM" TargetMode="External"/><Relationship Id="rId941" Type="http://schemas.openxmlformats.org/officeDocument/2006/relationships/hyperlink" Target="https://takeuforward.org/data-structure/kth-largest-element-in-an-array/" TargetMode="External"/><Relationship Id="rId942" Type="http://schemas.openxmlformats.org/officeDocument/2006/relationships/hyperlink" Target="https://leetcode.com/problems/kth-largest-element-in-an-array/" TargetMode="External"/><Relationship Id="rId943" Type="http://schemas.openxmlformats.org/officeDocument/2006/relationships/hyperlink" Target="https://www.geeksforgeeks.org/problems/k-largest-elements3736/1" TargetMode="External"/><Relationship Id="rId944" Type="http://schemas.openxmlformats.org/officeDocument/2006/relationships/hyperlink" Target="https://www.youtube.com/watch?v=aXyOWHyV620" TargetMode="External"/><Relationship Id="rId945" Type="http://schemas.openxmlformats.org/officeDocument/2006/relationships/hyperlink" Target="https://takeuforward.org/data-structure/k-closest-points-to-origin/" TargetMode="External"/><Relationship Id="rId946" Type="http://schemas.openxmlformats.org/officeDocument/2006/relationships/hyperlink" Target="https://leetcode.com/problems/k-closest-points-to-origin/" TargetMode="External"/><Relationship Id="rId947" Type="http://schemas.openxmlformats.org/officeDocument/2006/relationships/hyperlink" Target="https://www.geeksforgeeks.org/problems/k-closest-points-to-origin--170637/1" TargetMode="External"/><Relationship Id="rId948" Type="http://schemas.openxmlformats.org/officeDocument/2006/relationships/hyperlink" Target="https://www.youtube.com/watch?v=eaYX0Ee0KSE" TargetMode="External"/><Relationship Id="rId949" Type="http://schemas.openxmlformats.org/officeDocument/2006/relationships/hyperlink" Target="https://takeuforward.org/data-structure/top-k-frequent-elements-in-array/" TargetMode="External"/><Relationship Id="rId950" Type="http://schemas.openxmlformats.org/officeDocument/2006/relationships/hyperlink" Target="https://leetcode.com/problems/top-k-frequent-elements/" TargetMode="External"/><Relationship Id="rId951" Type="http://schemas.openxmlformats.org/officeDocument/2006/relationships/hyperlink" Target="https://www.geeksforgeeks.org/problems/top-k-frequent-elements-in-array--170637/1" TargetMode="External"/><Relationship Id="rId952" Type="http://schemas.openxmlformats.org/officeDocument/2006/relationships/hyperlink" Target="https://www.youtube.com/watch?v=YPTqKIgVk-k" TargetMode="External"/><Relationship Id="rId953" Type="http://schemas.openxmlformats.org/officeDocument/2006/relationships/hyperlink" Target="https://takeuforward.org/data-structure/merge-k-sorted-linked-lists/" TargetMode="External"/><Relationship Id="rId954" Type="http://schemas.openxmlformats.org/officeDocument/2006/relationships/hyperlink" Target="https://leetcode.com/problems/merge-k-sorted-lists/" TargetMode="External"/><Relationship Id="rId955" Type="http://schemas.openxmlformats.org/officeDocument/2006/relationships/hyperlink" Target="https://www.geeksforgeeks.org/problems/merge-k-sorted-linked-lists/1" TargetMode="External"/><Relationship Id="rId956" Type="http://schemas.openxmlformats.org/officeDocument/2006/relationships/hyperlink" Target="https://www.youtube.com/watch?v=kpCesr9VXDA" TargetMode="External"/><Relationship Id="rId957" Type="http://schemas.openxmlformats.org/officeDocument/2006/relationships/hyperlink" Target="https://takeuforward.org/data-structure/find-median-from-a-data-stream/" TargetMode="External"/><Relationship Id="rId958" Type="http://schemas.openxmlformats.org/officeDocument/2006/relationships/hyperlink" Target="https://leetcode.com/problems/find-median-from-data-stream/" TargetMode="External"/><Relationship Id="rId959" Type="http://schemas.openxmlformats.org/officeDocument/2006/relationships/hyperlink" Target="https://www.geeksforgeeks.org/problems/find-median-in-a-stream-1587115620/1" TargetMode="External"/><Relationship Id="rId960" Type="http://schemas.openxmlformats.org/officeDocument/2006/relationships/hyperlink" Target="https://www.youtube.com/watch?v=1LkOrc-LeT8" TargetMode="External"/><Relationship Id="rId961" Type="http://schemas.openxmlformats.org/officeDocument/2006/relationships/hyperlink" Target="https://takeuforward.org/data-structure/task-scheduler-greedy-heap/" TargetMode="External"/><Relationship Id="rId962" Type="http://schemas.openxmlformats.org/officeDocument/2006/relationships/hyperlink" Target="https://leetcode.com/problems/task-scheduler/" TargetMode="External"/><Relationship Id="rId963" Type="http://schemas.openxmlformats.org/officeDocument/2006/relationships/hyperlink" Target="https://www.geeksforgeeks.org/problems/task-scheduler/1" TargetMode="External"/><Relationship Id="rId964" Type="http://schemas.openxmlformats.org/officeDocument/2006/relationships/hyperlink" Target="https://www.youtube.com/watch?v=eG0IPc4oMIE" TargetMode="External"/><Relationship Id="rId965" Type="http://schemas.openxmlformats.org/officeDocument/2006/relationships/hyperlink" Target="https://takeuforward.org/data-structure/sort-characters-by-frequency/" TargetMode="External"/><Relationship Id="rId966" Type="http://schemas.openxmlformats.org/officeDocument/2006/relationships/hyperlink" Target="https://leetcode.com/problems/sort-characters-by-frequency/" TargetMode="External"/><Relationship Id="rId967" Type="http://schemas.openxmlformats.org/officeDocument/2006/relationships/hyperlink" Target="https://www.geeksforgeeks.org/problems/sorting-array-of-elements-by-frequency/1" TargetMode="External"/><Relationship Id="rId968" Type="http://schemas.openxmlformats.org/officeDocument/2006/relationships/hyperlink" Target="https://www.youtube.com/watch?v=trOcZ-7M9Q4" TargetMode="External"/><Relationship Id="rId969" Type="http://schemas.openxmlformats.org/officeDocument/2006/relationships/hyperlink" Target="https://takeuforward.org/data-structure/kth-smallest-element-in-a-sorted-matrix/" TargetMode="External"/><Relationship Id="rId970" Type="http://schemas.openxmlformats.org/officeDocument/2006/relationships/hyperlink" Target="https://leetcode.com/problems/kth-smallest-element-in-a-sorted-matrix/" TargetMode="External"/><Relationship Id="rId971" Type="http://schemas.openxmlformats.org/officeDocument/2006/relationships/hyperlink" Target="https://www.geeksforgeeks.org/problems/kth-element-in-matrix/1" TargetMode="External"/><Relationship Id="rId972" Type="http://schemas.openxmlformats.org/officeDocument/2006/relationships/hyperlink" Target="https://www.youtube.com/watch?v=0d5oiJC70_I" TargetMode="External"/><Relationship Id="rId973" Type="http://schemas.openxmlformats.org/officeDocument/2006/relationships/hyperlink" Target="https://takeuforward.org/data-structure/construct-target-array-with-multiple-sums/" TargetMode="External"/><Relationship Id="rId974" Type="http://schemas.openxmlformats.org/officeDocument/2006/relationships/hyperlink" Target="https://leetcode.com/problems/construct-target-array-with-multiple-sums/" TargetMode="External"/><Relationship Id="rId975" Type="http://schemas.openxmlformats.org/officeDocument/2006/relationships/hyperlink" Target="https://www.geeksforgeeks.org/problems/construct-target-array-with-multiple-sums/1" TargetMode="External"/><Relationship Id="rId976" Type="http://schemas.openxmlformats.org/officeDocument/2006/relationships/hyperlink" Target="https://www.youtube.com/watch?v=S4f2YnN_Lp4" TargetMode="External"/><Relationship Id="rId977" Type="http://schemas.openxmlformats.org/officeDocument/2006/relationships/hyperlink" Target="https://takeuforward.org/data-structure/minimum-cost-to-connect-ropes/" TargetMode="External"/><Relationship Id="rId978" Type="http://schemas.openxmlformats.org/officeDocument/2006/relationships/hyperlink" Target="https://leetcode.com/problems/minimum-cost-to-connect-sticks/" TargetMode="External"/><Relationship Id="rId979" Type="http://schemas.openxmlformats.org/officeDocument/2006/relationships/hyperlink" Target="https://www.geeksforgeeks.org/problems/connect-nodes-at-same-level/1" TargetMode="External"/><Relationship Id="rId980" Type="http://schemas.openxmlformats.org/officeDocument/2006/relationships/hyperlink" Target="https://www.youtube.com/watch?v=3dQp7g6uD9g" TargetMode="External"/><Relationship Id="rId981" Type="http://schemas.openxmlformats.org/officeDocument/2006/relationships/hyperlink" Target="https://takeuforward.org/data-structure/furthest-building-you-can-reach/" TargetMode="External"/><Relationship Id="rId982" Type="http://schemas.openxmlformats.org/officeDocument/2006/relationships/hyperlink" Target="https://leetcode.com/problems/furthest-building-you-can-reach/" TargetMode="External"/><Relationship Id="rId983" Type="http://schemas.openxmlformats.org/officeDocument/2006/relationships/hyperlink" Target="https://www.geeksforgeeks.org/problems/furthest-building-you-can-reach/1" TargetMode="External"/><Relationship Id="rId984" Type="http://schemas.openxmlformats.org/officeDocument/2006/relationships/hyperlink" Target="https://www.youtube.com/watch?v=525cplP70o0" TargetMode="External"/><Relationship Id="rId985" Type="http://schemas.openxmlformats.org/officeDocument/2006/relationships/hyperlink" Target="https://takeuforward.org/data-structure/smallest-range-covering-elements-from-k-lists/" TargetMode="External"/><Relationship Id="rId986" Type="http://schemas.openxmlformats.org/officeDocument/2006/relationships/hyperlink" Target="https://leetcode.com/problems/smallest-range-covering-elements-from-k-lists/" TargetMode="External"/><Relationship Id="rId987" Type="http://schemas.openxmlformats.org/officeDocument/2006/relationships/hyperlink" Target="https://www.geeksforgeeks.org/problems/find-smallest-range-containing-elements-from-k-lists/1" TargetMode="External"/><Relationship Id="rId988" Type="http://schemas.openxmlformats.org/officeDocument/2006/relationships/hyperlink" Target="https://www.youtube.com/watch?v=Fqal25JxG0o" TargetMode="External"/><Relationship Id="rId989" Type="http://schemas.openxmlformats.org/officeDocument/2006/relationships/hyperlink" Target="https://takeuforward.org/graph/bfs-traversal-in-graph/" TargetMode="External"/><Relationship Id="rId990" Type="http://schemas.openxmlformats.org/officeDocument/2006/relationships/hyperlink" Target="https://leetcode.com/problems/clone-graph/" TargetMode="External"/><Relationship Id="rId991" Type="http://schemas.openxmlformats.org/officeDocument/2006/relationships/hyperlink" Target="https://www.geeksforgeeks.org/problems/bfs-traversal-of-graph/1" TargetMode="External"/><Relationship Id="rId992" Type="http://schemas.openxmlformats.org/officeDocument/2006/relationships/hyperlink" Target="https://www.youtube.com/watch?v=-tgVp52zKBg" TargetMode="External"/><Relationship Id="rId993" Type="http://schemas.openxmlformats.org/officeDocument/2006/relationships/hyperlink" Target="https://takeuforward.org/graph/depth-first-search-dfs-traversal-in-graph/" TargetMode="External"/><Relationship Id="rId994" Type="http://schemas.openxmlformats.org/officeDocument/2006/relationships/hyperlink" Target="https://leetcode.com/problems/clone-graph/" TargetMode="External"/><Relationship Id="rId995" Type="http://schemas.openxmlformats.org/officeDocument/2006/relationships/hyperlink" Target="https://www.geeksforgeeks.org/problems/depth-first-traversal-for-a-graph/1" TargetMode="External"/><Relationship Id="rId996" Type="http://schemas.openxmlformats.org/officeDocument/2006/relationships/hyperlink" Target="https://www.youtube.com/watch?v=Qzf1a--1pQI" TargetMode="External"/><Relationship Id="rId997" Type="http://schemas.openxmlformats.org/officeDocument/2006/relationships/hyperlink" Target="https://takeuforward.org/data-structure/number-of-islands/" TargetMode="External"/><Relationship Id="rId998" Type="http://schemas.openxmlformats.org/officeDocument/2006/relationships/hyperlink" Target="https://leetcode.com/problems/number-of-islands/" TargetMode="External"/><Relationship Id="rId999" Type="http://schemas.openxmlformats.org/officeDocument/2006/relationships/hyperlink" Target="https://www.geeksforgeeks.org/problems/find-by-number-of-islands/1" TargetMode="External"/><Relationship Id="rId1000" Type="http://schemas.openxmlformats.org/officeDocument/2006/relationships/hyperlink" Target="https://www.youtube.com/watch?v=muncqlKJ8ZY" TargetMode="External"/><Relationship Id="rId1001" Type="http://schemas.openxmlformats.org/officeDocument/2006/relationships/hyperlink" Target="https://takeuforward.org/data-structure/clone-graph/" TargetMode="External"/><Relationship Id="rId1002" Type="http://schemas.openxmlformats.org/officeDocument/2006/relationships/hyperlink" Target="https://leetcode.com/problems/clone-graph/" TargetMode="External"/><Relationship Id="rId1003" Type="http://schemas.openxmlformats.org/officeDocument/2006/relationships/hyperlink" Target="https://www.geeksforgeeks.org/problems/clone-graph/1" TargetMode="External"/><Relationship Id="rId1004" Type="http://schemas.openxmlformats.org/officeDocument/2006/relationships/hyperlink" Target="https://www.youtube.com/watch?v=f2JDZ58n8zU" TargetMode="External"/><Relationship Id="rId1005" Type="http://schemas.openxmlformats.org/officeDocument/2006/relationships/hyperlink" Target="https://takeuforward.org/graph/detect-cycle-in-a-directed-graph-using-dfs-graph-colouring/" TargetMode="External"/><Relationship Id="rId1006" Type="http://schemas.openxmlformats.org/officeDocument/2006/relationships/hyperlink" Target="https://leetcode.com/problems/course-schedule/" TargetMode="External"/><Relationship Id="rId1007" Type="http://schemas.openxmlformats.org/officeDocument/2006/relationships/hyperlink" Target="https://www.geeksforgeeks.org/problems/prerequisite-tasks/1" TargetMode="External"/><Relationship Id="rId1008" Type="http://schemas.openxmlformats.org/officeDocument/2006/relationships/hyperlink" Target="https://www.youtube.com/watch?v=WAOfKpxYHR8" TargetMode="External"/><Relationship Id="rId1009" Type="http://schemas.openxmlformats.org/officeDocument/2006/relationships/hyperlink" Target="https://takeuforward.org/graph/topological-sort-bfs-kahns-algorithm/" TargetMode="External"/><Relationship Id="rId1010" Type="http://schemas.openxmlformats.org/officeDocument/2006/relationships/hyperlink" Target="https://leetcode.com/problems/course-schedule-ii/" TargetMode="External"/><Relationship Id="rId1011" Type="http://schemas.openxmlformats.org/officeDocument/2006/relationships/hyperlink" Target="https://www.geeksforgeeks.org/problems/course-schedule/1" TargetMode="External"/><Relationship Id="rId1012" Type="http://schemas.openxmlformats.org/officeDocument/2006/relationships/hyperlink" Target="https://www.youtube.com/watch?v=73Pn9AIsfP8" TargetMode="External"/><Relationship Id="rId1013" Type="http://schemas.openxmlformats.org/officeDocument/2006/relationships/hyperlink" Target="https://takeuforward.org/graph/pacific-atlantic-water-flow/" TargetMode="External"/><Relationship Id="rId1014" Type="http://schemas.openxmlformats.org/officeDocument/2006/relationships/hyperlink" Target="https://leetcode.com/problems/pacific-atlantic-water-flow/" TargetMode="External"/><Relationship Id="rId1015" Type="http://schemas.openxmlformats.org/officeDocument/2006/relationships/hyperlink" Target="https://www.geeksforgeeks.org/problems/pacific-atlantic-water-flow/1" TargetMode="External"/><Relationship Id="rId1016" Type="http://schemas.openxmlformats.org/officeDocument/2006/relationships/hyperlink" Target="https://www.youtube.com/watch?v=s-VkJuHyFQQ" TargetMode="External"/><Relationship Id="rId1017" Type="http://schemas.openxmlformats.org/officeDocument/2006/relationships/hyperlink" Target="https://takeuforward.org/graph/redundant-connection-disjoint-set/" TargetMode="External"/><Relationship Id="rId1018" Type="http://schemas.openxmlformats.org/officeDocument/2006/relationships/hyperlink" Target="https://leetcode.com/problems/redundant-connection/" TargetMode="External"/><Relationship Id="rId1019" Type="http://schemas.openxmlformats.org/officeDocument/2006/relationships/hyperlink" Target="https://www.geeksforgeeks.org/problems/redundant-connection/1" TargetMode="External"/><Relationship Id="rId1020" Type="http://schemas.openxmlformats.org/officeDocument/2006/relationships/hyperlink" Target="https://www.youtube.com/watch?v=aBxjDBC4NHc" TargetMode="External"/><Relationship Id="rId1021" Type="http://schemas.openxmlformats.org/officeDocument/2006/relationships/hyperlink" Target="https://takeuforward.org/graph/number-of-provinces/" TargetMode="External"/><Relationship Id="rId1022" Type="http://schemas.openxmlformats.org/officeDocument/2006/relationships/hyperlink" Target="https://leetcode.com/problems/number-of-provinces/" TargetMode="External"/><Relationship Id="rId1023" Type="http://schemas.openxmlformats.org/officeDocument/2006/relationships/hyperlink" Target="https://www.geeksforgeeks.org/problems/number-of-provinces/1" TargetMode="External"/><Relationship Id="rId1024" Type="http://schemas.openxmlformats.org/officeDocument/2006/relationships/hyperlink" Target="https://www.youtube.com/watch?v=3tZa0VILJdM" TargetMode="External"/><Relationship Id="rId1025" Type="http://schemas.openxmlformats.org/officeDocument/2006/relationships/hyperlink" Target="https://takeuforward.org/graph/graph-valid-tree/" TargetMode="External"/><Relationship Id="rId1026" Type="http://schemas.openxmlformats.org/officeDocument/2006/relationships/hyperlink" Target="https://leetcode.com/problems/redundant-connection/" TargetMode="External"/><Relationship Id="rId1027" Type="http://schemas.openxmlformats.org/officeDocument/2006/relationships/hyperlink" Target="https://www.geeksforgeeks.org/problems/valid-path-in-a-graph/1" TargetMode="External"/><Relationship Id="rId1028" Type="http://schemas.openxmlformats.org/officeDocument/2006/relationships/hyperlink" Target="https://www.youtube.com/watch?v=n_t0a_8H8VY" TargetMode="External"/><Relationship Id="rId1029" Type="http://schemas.openxmlformats.org/officeDocument/2006/relationships/hyperlink" Target="https://takeuforward.org/graph/word-ladder-i-g-29/" TargetMode="External"/><Relationship Id="rId1030" Type="http://schemas.openxmlformats.org/officeDocument/2006/relationships/hyperlink" Target="https://leetcode.com/problems/word-ladder/" TargetMode="External"/><Relationship Id="rId1031" Type="http://schemas.openxmlformats.org/officeDocument/2006/relationships/hyperlink" Target="https://www.geeksforgeeks.org/problems/word-ladder/1" TargetMode="External"/><Relationship Id="rId1032" Type="http://schemas.openxmlformats.org/officeDocument/2006/relationships/hyperlink" Target="https://www.youtube.com/watch?v=tRPDa0HBFrg" TargetMode="External"/><Relationship Id="rId1033" Type="http://schemas.openxmlformats.org/officeDocument/2006/relationships/hyperlink" Target="https://takeuforward.org/graph/dijkstras-algorithm-using-priority-queue-g-32/" TargetMode="External"/><Relationship Id="rId1034" Type="http://schemas.openxmlformats.org/officeDocument/2006/relationships/hyperlink" Target="https://leetcode.com/problems/network-delay-time/" TargetMode="External"/><Relationship Id="rId1035" Type="http://schemas.openxmlformats.org/officeDocument/2006/relationships/hyperlink" Target="https://www.geeksforgeeks.org/problems/implementing-dijkstra-adjoining-list-algorithms1587115620/1" TargetMode="External"/><Relationship Id="rId1036" Type="http://schemas.openxmlformats.org/officeDocument/2006/relationships/hyperlink" Target="https://www.youtube.com/watch?v=V6H1qAeB-l4" TargetMode="External"/><Relationship Id="rId1037" Type="http://schemas.openxmlformats.org/officeDocument/2006/relationships/hyperlink" Target="https://takeuforward.org/graph/kruskals-algorithm-disjoint-set-g-47/" TargetMode="External"/><Relationship Id="rId1038" Type="http://schemas.openxmlformats.org/officeDocument/2006/relationships/hyperlink" Target="https://leetcode.com/problems/min-cost-to-connect-all-points/" TargetMode="External"/><Relationship Id="rId1039" Type="http://schemas.openxmlformats.org/officeDocument/2006/relationships/hyperlink" Target="https://www.geeksforgeeks.org/problems/minimum-spanning-tree/1" TargetMode="External"/><Relationship Id="rId1040" Type="http://schemas.openxmlformats.org/officeDocument/2006/relationships/hyperlink" Target="https://www.youtube.com/watch?v=DMnDM_pHcGo" TargetMode="External"/><Relationship Id="rId1041" Type="http://schemas.openxmlformats.org/officeDocument/2006/relationships/hyperlink" Target="https://takeuforward.org/graph/prims-algorithm-mst-g-45/" TargetMode="External"/><Relationship Id="rId1042" Type="http://schemas.openxmlformats.org/officeDocument/2006/relationships/hyperlink" Target="https://leetcode.com/problems/min-cost-to-connect-all-points/" TargetMode="External"/><Relationship Id="rId1043" Type="http://schemas.openxmlformats.org/officeDocument/2006/relationships/hyperlink" Target="https://www.geeksforgeeks.org/problems/minimum-spanning-tree/1" TargetMode="External"/><Relationship Id="rId1044" Type="http://schemas.openxmlformats.org/officeDocument/2006/relationships/hyperlink" Target="https://www.youtube.com/watch?v=mJcZgIhPoHs" TargetMode="External"/><Relationship Id="rId1045" Type="http://schemas.openxmlformats.org/officeDocument/2006/relationships/hyperlink" Target="https://takeuforward.org/graph/floyd-warshall-algorithm-g-42/" TargetMode="External"/><Relationship Id="rId1046" Type="http://schemas.openxmlformats.org/officeDocument/2006/relationships/hyperlink" Target="https://leetcode.com/problems/find-the-city-with-the-smallest-number-of-neighbors-at-a-threshold-distance/" TargetMode="External"/><Relationship Id="rId1047" Type="http://schemas.openxmlformats.org/officeDocument/2006/relationships/hyperlink" Target="https://www.geeksforgeeks.org/problems/implementing-floyd-warshall2042/1" TargetMode="External"/><Relationship Id="rId1048" Type="http://schemas.openxmlformats.org/officeDocument/2006/relationships/hyperlink" Target="https://www.youtube.com/watch?v=YbY8F-_epw4" TargetMode="External"/><Relationship Id="rId1049" Type="http://schemas.openxmlformats.org/officeDocument/2006/relationships/hyperlink" Target="https://takeuforward.org/graph/bellman-ford-algorithm-g-41/" TargetMode="External"/><Relationship Id="rId1050" Type="http://schemas.openxmlformats.org/officeDocument/2006/relationships/hyperlink" Target="https://leetcode.com/problems/network-delay-time/" TargetMode="External"/><Relationship Id="rId1051" Type="http://schemas.openxmlformats.org/officeDocument/2006/relationships/hyperlink" Target="https://www.geeksforgeeks.org/problems/distance-from-the-source-bellman-ford-vector1414/1" TargetMode="External"/><Relationship Id="rId1052" Type="http://schemas.openxmlformats.org/officeDocument/2006/relationships/hyperlink" Target="https://www.youtube.com/watch?v=0vVofahB--c" TargetMode="External"/><Relationship Id="rId1053" Type="http://schemas.openxmlformats.org/officeDocument/2006/relationships/hyperlink" Target="https://takeuforward.org/graph/snakes-and-ladders-bfs/" TargetMode="External"/><Relationship Id="rId1054" Type="http://schemas.openxmlformats.org/officeDocument/2006/relationships/hyperlink" Target="https://leetcode.com/problems/snakes-and-ladders/" TargetMode="External"/><Relationship Id="rId1055" Type="http://schemas.openxmlformats.org/officeDocument/2006/relationships/hyperlink" Target="https://www.geeksforgeeks.org/problems/snake-and-ladder-problem4816/1" TargetMode="External"/><Relationship Id="rId1056" Type="http://schemas.openxmlformats.org/officeDocument/2006/relationships/hyperlink" Target="https://www.youtube.com/watch?v=zWS2fCJGZmU" TargetMode="External"/><Relationship Id="rId1057" Type="http://schemas.openxmlformats.org/officeDocument/2006/relationships/hyperlink" Target="https://takeuforward.org/data-structure/rotting-oranges-bfs-graph-problem/" TargetMode="External"/><Relationship Id="rId1058" Type="http://schemas.openxmlformats.org/officeDocument/2006/relationships/hyperlink" Target="https://leetcode.com/problems/rotting-oranges/" TargetMode="External"/><Relationship Id="rId1059" Type="http://schemas.openxmlformats.org/officeDocument/2006/relationships/hyperlink" Target="https://www.geeksforgeeks.org/problems/rotting-oranges3614/1" TargetMode="External"/><Relationship Id="rId1060" Type="http://schemas.openxmlformats.org/officeDocument/2006/relationships/hyperlink" Target="https://www.youtube.com/watch?v=yf3oUhkvqA0" TargetMode="External"/><Relationship Id="rId1061" Type="http://schemas.openxmlformats.org/officeDocument/2006/relationships/hyperlink" Target="https://takeuforward.org/graph/bipartite-graph-dfs/" TargetMode="External"/><Relationship Id="rId1062" Type="http://schemas.openxmlformats.org/officeDocument/2006/relationships/hyperlink" Target="https://leetcode.com/problems/is-graph-bipartite/" TargetMode="External"/><Relationship Id="rId1063" Type="http://schemas.openxmlformats.org/officeDocument/2006/relationships/hyperlink" Target="https://www.geeksforgeeks.org/problems/bipartite-graph/1" TargetMode="External"/><Relationship Id="rId1064" Type="http://schemas.openxmlformats.org/officeDocument/2006/relationships/hyperlink" Target="https://www.youtube.com/watch?v=-vu34seDXGU" TargetMode="External"/><Relationship Id="rId1065" Type="http://schemas.openxmlformats.org/officeDocument/2006/relationships/hyperlink" Target="https://takeuforward.org/graph/cheapest-flights-within-k-stops-g-38/" TargetMode="External"/><Relationship Id="rId1066" Type="http://schemas.openxmlformats.org/officeDocument/2006/relationships/hyperlink" Target="https://leetcode.com/problems/cheapest-flights-within-k-stops/" TargetMode="External"/><Relationship Id="rId1067" Type="http://schemas.openxmlformats.org/officeDocument/2006/relationships/hyperlink" Target="https://www.geeksforgeeks.org/problems/cheapest-flights-within-k-stops/1" TargetMode="External"/><Relationship Id="rId1068" Type="http://schemas.openxmlformats.org/officeDocument/2006/relationships/hyperlink" Target="https://www.youtube.com/watch?v=5yg5RW1EqkY" TargetMode="External"/><Relationship Id="rId1069" Type="http://schemas.openxmlformats.org/officeDocument/2006/relationships/hyperlink" Target="https://takeuforward.org/data-structure/dynamic-programming-climbing-stairs/" TargetMode="External"/><Relationship Id="rId1070" Type="http://schemas.openxmlformats.org/officeDocument/2006/relationships/hyperlink" Target="https://leetcode.com/problems/climbing-stairs/" TargetMode="External"/><Relationship Id="rId1071" Type="http://schemas.openxmlformats.org/officeDocument/2006/relationships/hyperlink" Target="https://www.geeksforgeeks.org/problems/climb-stairs-1587115620/1" TargetMode="External"/><Relationship Id="rId1072" Type="http://schemas.openxmlformats.org/officeDocument/2006/relationships/hyperlink" Target="https://www.youtube.com/watch?v=mLFQL7iJZyY" TargetMode="External"/><Relationship Id="rId1073" Type="http://schemas.openxmlformats.org/officeDocument/2006/relationships/hyperlink" Target="https://takeuforward.org/data-structure/maximum-sum-of-non-adjacent-elements-dp-5/" TargetMode="External"/><Relationship Id="rId1074" Type="http://schemas.openxmlformats.org/officeDocument/2006/relationships/hyperlink" Target="https://leetcode.com/problems/house-robber/" TargetMode="External"/><Relationship Id="rId1075" Type="http://schemas.openxmlformats.org/officeDocument/2006/relationships/hyperlink" Target="https://www.geeksforgeeks.org/problems/stickler-theif-1587115621/1" TargetMode="External"/><Relationship Id="rId1076" Type="http://schemas.openxmlformats.org/officeDocument/2006/relationships/hyperlink" Target="https://www.youtube.com/watch?v=GrMBfJNqd_A" TargetMode="External"/><Relationship Id="rId1077" Type="http://schemas.openxmlformats.org/officeDocument/2006/relationships/hyperlink" Target="https://takeuforward.org/data-structure/dynamic-programming-house-robber-ii-dp-6/" TargetMode="External"/><Relationship Id="rId1078" Type="http://schemas.openxmlformats.org/officeDocument/2006/relationships/hyperlink" Target="https://leetcode.com/problems/house-robber-ii/" TargetMode="External"/><Relationship Id="rId1079" Type="http://schemas.openxmlformats.org/officeDocument/2006/relationships/hyperlink" Target="https://www.geeksforgeeks.org/problems/house-robber-ii/1" TargetMode="External"/><Relationship Id="rId1080" Type="http://schemas.openxmlformats.org/officeDocument/2006/relationships/hyperlink" Target="https://www.youtube.com/watch?v=3WaxqmYyF1g" TargetMode="External"/><Relationship Id="rId1081" Type="http://schemas.openxmlformats.org/officeDocument/2006/relationships/hyperlink" Target="https://takeuforward.org/data-structure/coin-change-2-dp-22/" TargetMode="External"/><Relationship Id="rId1082" Type="http://schemas.openxmlformats.org/officeDocument/2006/relationships/hyperlink" Target="https://leetcode.com/problems/coin-change/" TargetMode="External"/><Relationship Id="rId1083" Type="http://schemas.openxmlformats.org/officeDocument/2006/relationships/hyperlink" Target="https://www.geeksforgeeks.org/problems/number-of-coins1824/1" TargetMode="External"/><Relationship Id="rId1084" Type="http://schemas.openxmlformats.org/officeDocument/2006/relationships/hyperlink" Target="https://www.youtube.com/watch?v=Hgyy-uClm5s" TargetMode="External"/><Relationship Id="rId1085" Type="http://schemas.openxmlformats.org/officeDocument/2006/relationships/hyperlink" Target="https://takeuforward.org/data-structure/longest-common-subsequence-dp-25/" TargetMode="External"/><Relationship Id="rId1086" Type="http://schemas.openxmlformats.org/officeDocument/2006/relationships/hyperlink" Target="https://leetcode.com/problems/longest-common-subsequence/" TargetMode="External"/><Relationship Id="rId1087" Type="http://schemas.openxmlformats.org/officeDocument/2006/relationships/hyperlink" Target="https://www.geeksforgeeks.org/problems/longest-common-subsequence-1587115620/1" TargetMode="External"/><Relationship Id="rId1088" Type="http://schemas.openxmlformats.org/officeDocument/2006/relationships/hyperlink" Target="https://www.youtube.com/watch?v=NP2y61fLghg" TargetMode="External"/><Relationship Id="rId1089" Type="http://schemas.openxmlformats.org/officeDocument/2006/relationships/hyperlink" Target="https://takeuforward.org/data-structure/longest-increasing-subsequence-dp-41/" TargetMode="External"/><Relationship Id="rId1090" Type="http://schemas.openxmlformats.org/officeDocument/2006/relationships/hyperlink" Target="https://leetcode.com/problems/longest-increasing-subsequence/" TargetMode="External"/><Relationship Id="rId1091" Type="http://schemas.openxmlformats.org/officeDocument/2006/relationships/hyperlink" Target="https://www.geeksforgeeks.org/problems/longest-increasing-subsequence-1587115620/1" TargetMode="External"/><Relationship Id="rId1092" Type="http://schemas.openxmlformats.org/officeDocument/2006/relationships/hyperlink" Target="https://www.youtube.com/watch?v=ekcwMsSIzVc" TargetMode="External"/><Relationship Id="rId1093" Type="http://schemas.openxmlformats.org/officeDocument/2006/relationships/hyperlink" Target="https://takeuforward.org/data-structure/edit-distance-dp-33/" TargetMode="External"/><Relationship Id="rId1094" Type="http://schemas.openxmlformats.org/officeDocument/2006/relationships/hyperlink" Target="https://leetcode.com/problems/edit-distance/" TargetMode="External"/><Relationship Id="rId1095" Type="http://schemas.openxmlformats.org/officeDocument/2006/relationships/hyperlink" Target="https://www.geeksforgeeks.org/problems/edit-distance3702/1" TargetMode="External"/><Relationship Id="rId1096" Type="http://schemas.openxmlformats.org/officeDocument/2006/relationships/hyperlink" Target="https://www.youtube.com/watch?v=fJaKO8FbDdo" TargetMode="External"/><Relationship Id="rId1097" Type="http://schemas.openxmlformats.org/officeDocument/2006/relationships/hyperlink" Target="https://takeuforward.org/data-structure/partition-equal-subset-sum-dp-15/" TargetMode="External"/><Relationship Id="rId1098" Type="http://schemas.openxmlformats.org/officeDocument/2006/relationships/hyperlink" Target="https://leetcode.com/problems/partition-equal-subset-sum/" TargetMode="External"/><Relationship Id="rId1099" Type="http://schemas.openxmlformats.org/officeDocument/2006/relationships/hyperlink" Target="https://www.geeksforgeeks.org/problems/subset-sum-problem2014/1" TargetMode="External"/><Relationship Id="rId1100" Type="http://schemas.openxmlformats.org/officeDocument/2006/relationships/hyperlink" Target="https://www.youtube.com/watch?v=7win3_M_M08" TargetMode="External"/><Relationship Id="rId1101" Type="http://schemas.openxmlformats.org/officeDocument/2006/relationships/hyperlink" Target="https://takeuforward.org/data-structure/0-1-knapsack-dp-19/" TargetMode="External"/><Relationship Id="rId1102" Type="http://schemas.openxmlformats.org/officeDocument/2006/relationships/hyperlink" Target="https://leetcode.com/problems/partition-equal-subset-sum/" TargetMode="External"/><Relationship Id="rId1103" Type="http://schemas.openxmlformats.org/officeDocument/2006/relationships/hyperlink" Target="https://www.geeksforgeeks.org/problems/0-1-knapsack-problem0945/1" TargetMode="External"/><Relationship Id="rId1104" Type="http://schemas.openxmlformats.org/officeDocument/2006/relationships/hyperlink" Target="https://www.youtube.com/watch?v=GqHpGjCHtTg" TargetMode="External"/><Relationship Id="rId1105" Type="http://schemas.openxmlformats.org/officeDocument/2006/relationships/hyperlink" Target="https://takeuforward.org/data-structure/word-break/" TargetMode="External"/><Relationship Id="rId1106" Type="http://schemas.openxmlformats.org/officeDocument/2006/relationships/hyperlink" Target="https://leetcode.com/problems/word-break/" TargetMode="External"/><Relationship Id="rId1107" Type="http://schemas.openxmlformats.org/officeDocument/2006/relationships/hyperlink" Target="https://www.geeksforgeeks.org/problems/word-break1352/1" TargetMode="External"/><Relationship Id="rId1108" Type="http://schemas.openxmlformats.org/officeDocument/2006/relationships/hyperlink" Target="https://www.youtube.com/watch?v=oBUpy790jaI" TargetMode="External"/><Relationship Id="rId1109" Type="http://schemas.openxmlformats.org/officeDocument/2006/relationships/hyperlink" Target="https://takeuforward.org/data-structure/grid-unique-paths-dp-on-grids-dp8/" TargetMode="External"/><Relationship Id="rId1110" Type="http://schemas.openxmlformats.org/officeDocument/2006/relationships/hyperlink" Target="https://leetcode.com/problems/unique-paths/" TargetMode="External"/><Relationship Id="rId1111" Type="http://schemas.openxmlformats.org/officeDocument/2006/relationships/hyperlink" Target="https://www.geeksforgeeks.org/problems/number-of-unique-paths5339/1" TargetMode="External"/><Relationship Id="rId1112" Type="http://schemas.openxmlformats.org/officeDocument/2006/relationships/hyperlink" Target="https://www.youtube.com/watch?v=t_f0nElzyc4" TargetMode="External"/><Relationship Id="rId1113" Type="http://schemas.openxmlformats.org/officeDocument/2006/relationships/hyperlink" Target="https://takeuforward.org/data-structure/minimum-path-sum-in-a-grid-dp-10/" TargetMode="External"/><Relationship Id="rId1114" Type="http://schemas.openxmlformats.org/officeDocument/2006/relationships/hyperlink" Target="https://leetcode.com/problems/minimum-path-sum/" TargetMode="External"/><Relationship Id="rId1115" Type="http://schemas.openxmlformats.org/officeDocument/2006/relationships/hyperlink" Target="https://www.geeksforgeeks.org/problems/minimum-cost-path3805/1" TargetMode="External"/><Relationship Id="rId1116" Type="http://schemas.openxmlformats.org/officeDocument/2006/relationships/hyperlink" Target="https://www.youtube.com/watch?v=_rgTlyky1uQ" TargetMode="External"/><Relationship Id="rId1117" Type="http://schemas.openxmlformats.org/officeDocument/2006/relationships/hyperlink" Target="https://takeuforward.org/data-structure/decode-ways/" TargetMode="External"/><Relationship Id="rId1118" Type="http://schemas.openxmlformats.org/officeDocument/2006/relationships/hyperlink" Target="https://leetcode.com/problems/decode-ways/" TargetMode="External"/><Relationship Id="rId1119" Type="http://schemas.openxmlformats.org/officeDocument/2006/relationships/hyperlink" Target="https://www.geeksforgeeks.org/problems/total-decoding-messages1235/1" TargetMode="External"/><Relationship Id="rId1120" Type="http://schemas.openxmlformats.org/officeDocument/2006/relationships/hyperlink" Target="https://www.youtube.com/watch?v=o1i7JYWbwOE" TargetMode="External"/><Relationship Id="rId1121" Type="http://schemas.openxmlformats.org/officeDocument/2006/relationships/hyperlink" Target="https://takeuforward.org/data-structure/min-cost-climbing-stairs/" TargetMode="External"/><Relationship Id="rId1122" Type="http://schemas.openxmlformats.org/officeDocument/2006/relationships/hyperlink" Target="https://leetcode.com/problems/min-cost-climbing-stairs/" TargetMode="External"/><Relationship Id="rId1123" Type="http://schemas.openxmlformats.org/officeDocument/2006/relationships/hyperlink" Target="https://www.geeksforgeeks.org/problems/min-cost-climbing-stairs/1" TargetMode="External"/><Relationship Id="rId1124" Type="http://schemas.openxmlformats.org/officeDocument/2006/relationships/hyperlink" Target="https://www.youtube.com/watch?v=AydF_H1vD20" TargetMode="External"/><Relationship Id="rId1125" Type="http://schemas.openxmlformats.org/officeDocument/2006/relationships/hyperlink" Target="https://takeuforward.org/data-structure/maximum-sum-of-non-adjacent-elements-dp-5/" TargetMode="External"/><Relationship Id="rId1126" Type="http://schemas.openxmlformats.org/officeDocument/2006/relationships/hyperlink" Target="https://leetcode.com/problems/house-robber/" TargetMode="External"/><Relationship Id="rId1127" Type="http://schemas.openxmlformats.org/officeDocument/2006/relationships/hyperlink" Target="https://www.geeksforgeeks.org/problems/stickler-theif-1587115621/1" TargetMode="External"/><Relationship Id="rId1128" Type="http://schemas.openxmlformats.org/officeDocument/2006/relationships/hyperlink" Target="https://www.youtube.com/watch?v=GrMBfJNqd_A" TargetMode="External"/><Relationship Id="rId1129" Type="http://schemas.openxmlformats.org/officeDocument/2006/relationships/hyperlink" Target="https://takeuforward.org/data-structure/subset-sum-equal-to-target-dp-14/" TargetMode="External"/><Relationship Id="rId1130" Type="http://schemas.openxmlformats.org/officeDocument/2006/relationships/hyperlink" Target="https://leetcode.com/problems/partition-equal-subset-sum/" TargetMode="External"/><Relationship Id="rId1131" Type="http://schemas.openxmlformats.org/officeDocument/2006/relationships/hyperlink" Target="https://www.geeksforgeeks.org/problems/subset-sum-problem2014/1" TargetMode="External"/><Relationship Id="rId1132" Type="http://schemas.openxmlformats.org/officeDocument/2006/relationships/hyperlink" Target="https://www.youtube.com/watch?v=fWX9xDmIzRI" TargetMode="External"/><Relationship Id="rId1133" Type="http://schemas.openxmlformats.org/officeDocument/2006/relationships/hyperlink" Target="https://takeuforward.org/data-structure/unbounded-knapsack-dp-23/" TargetMode="External"/><Relationship Id="rId1134" Type="http://schemas.openxmlformats.org/officeDocument/2006/relationships/hyperlink" Target="https://leetcode.com/problems/coin-change-ii/" TargetMode="External"/><Relationship Id="rId1135" Type="http://schemas.openxmlformats.org/officeDocument/2006/relationships/hyperlink" Target="https://www.geeksforgeeks.org/problems/knapsack-with-duplicate-items4201/1" TargetMode="External"/><Relationship Id="rId1136" Type="http://schemas.openxmlformats.org/officeDocument/2006/relationships/hyperlink" Target="https://www.youtube.com/watch?v=OgvqpHyDX9s" TargetMode="External"/><Relationship Id="rId1137" Type="http://schemas.openxmlformats.org/officeDocument/2006/relationships/hyperlink" Target="https://takeuforward.org/data-structure/rod-cutting-problem-dp-24/" TargetMode="External"/><Relationship Id="rId1138" Type="http://schemas.openxmlformats.org/officeDocument/2006/relationships/hyperlink" Target="https://leetcode.com/problems/integer-break/" TargetMode="External"/><Relationship Id="rId1139" Type="http://schemas.openxmlformats.org/officeDocument/2006/relationships/hyperlink" Target="https://www.geeksforgeeks.org/problems/rod-cutting0840/1" TargetMode="External"/><Relationship Id="rId1140" Type="http://schemas.openxmlformats.org/officeDocument/2006/relationships/hyperlink" Target="https://www.youtube.com/watch?v=mO8XMYwG718" TargetMode="External"/><Relationship Id="rId1141" Type="http://schemas.openxmlformats.org/officeDocument/2006/relationships/hyperlink" Target="https://takeuforward.org/data-structure/buy-and-sell-stocks-with-cooldown-dp-39/" TargetMode="External"/><Relationship Id="rId1142" Type="http://schemas.openxmlformats.org/officeDocument/2006/relationships/hyperlink" Target="https://leetcode.com/problems/best-time-to-buy-and-sell-stock-with-cooldown/" TargetMode="External"/><Relationship Id="rId1143" Type="http://schemas.openxmlformats.org/officeDocument/2006/relationships/hyperlink" Target="https://www.geeksforgeeks.org/problems/buy-stock-with-cooldown/1" TargetMode="External"/><Relationship Id="rId1144" Type="http://schemas.openxmlformats.org/officeDocument/2006/relationships/hyperlink" Target="https://www.youtube.com/watch?v=IGIeYUAru0o" TargetMode="External"/><Relationship Id="rId1145" Type="http://schemas.openxmlformats.org/officeDocument/2006/relationships/hyperlink" Target="https://takeuforward.org/data-structure/matrix-chain-multiplication-mcm-partition-dp-dp-48/" TargetMode="External"/><Relationship Id="rId1146" Type="http://schemas.openxmlformats.org/officeDocument/2006/relationships/hyperlink" Target="https://leetcode.com/problems/burst-balloons/" TargetMode="External"/><Relationship Id="rId1147" Type="http://schemas.openxmlformats.org/officeDocument/2006/relationships/hyperlink" Target="https://www.geeksforgeeks.org/problems/matrix-chain-multiplication0303/1" TargetMode="External"/><Relationship Id="rId1148" Type="http://schemas.openxmlformats.org/officeDocument/2006/relationships/hyperlink" Target="https://www.youtube.com/watch?v=vEVrFhs5qYE" TargetMode="External"/><Relationship Id="rId1149" Type="http://schemas.openxmlformats.org/officeDocument/2006/relationships/hyperlink" Target="https://takeuforward.org/data-structure/count-number-of-set-bits/" TargetMode="External"/><Relationship Id="rId1150" Type="http://schemas.openxmlformats.org/officeDocument/2006/relationships/hyperlink" Target="https://leetcode.com/problems/number-of-1-bits/" TargetMode="External"/><Relationship Id="rId1151" Type="http://schemas.openxmlformats.org/officeDocument/2006/relationships/hyperlink" Target="https://www.geeksforgeeks.org/problems/set-bits0143/1" TargetMode="External"/><Relationship Id="rId1152" Type="http://schemas.openxmlformats.org/officeDocument/2006/relationships/hyperlink" Target="https://www.youtube.com/watch?v=b7AYbpM5YrE" TargetMode="External"/><Relationship Id="rId1153" Type="http://schemas.openxmlformats.org/officeDocument/2006/relationships/hyperlink" Target="https://takeuforward.org/data-structure/counting-bits-dp-bitmasking/" TargetMode="External"/><Relationship Id="rId1154" Type="http://schemas.openxmlformats.org/officeDocument/2006/relationships/hyperlink" Target="https://leetcode.com/problems/counting-bits/" TargetMode="External"/><Relationship Id="rId1155" Type="http://schemas.openxmlformats.org/officeDocument/2006/relationships/hyperlink" Target="https://www.geeksforgeeks.org/problems/count-total-set-bits-1587115620/1" TargetMode="External"/><Relationship Id="rId1156" Type="http://schemas.openxmlformats.org/officeDocument/2006/relationships/hyperlink" Target="https://www.youtube.com/watch?v=awxaRgUBdUQ" TargetMode="External"/><Relationship Id="rId1157" Type="http://schemas.openxmlformats.org/officeDocument/2006/relationships/hyperlink" Target="https://takeuforward.org/data-structure/reverse-bits/" TargetMode="External"/><Relationship Id="rId1158" Type="http://schemas.openxmlformats.org/officeDocument/2006/relationships/hyperlink" Target="https://leetcode.com/problems/reverse-bits/" TargetMode="External"/><Relationship Id="rId1159" Type="http://schemas.openxmlformats.org/officeDocument/2006/relationships/hyperlink" Target="https://www.geeksforgeeks.org/problems/reverse-bits3556/1" TargetMode="External"/><Relationship Id="rId1160" Type="http://schemas.openxmlformats.org/officeDocument/2006/relationships/hyperlink" Target="https://www.youtube.com/watch?v=UcoN6aYGacU" TargetMode="External"/><Relationship Id="rId1161" Type="http://schemas.openxmlformats.org/officeDocument/2006/relationships/hyperlink" Target="https://takeuforward.org/data-structure/find-the-element-that-appears-once-in-a-sorted-array/" TargetMode="External"/><Relationship Id="rId1162" Type="http://schemas.openxmlformats.org/officeDocument/2006/relationships/hyperlink" Target="https://leetcode.com/problems/single-number/" TargetMode="External"/><Relationship Id="rId1163" Type="http://schemas.openxmlformats.org/officeDocument/2006/relationships/hyperlink" Target="https://www.geeksforgeeks.org/problems/find-the-element-that-appears-once-in-sorted-array0622/1" TargetMode="External"/><Relationship Id="rId1164" Type="http://schemas.openxmlformats.org/officeDocument/2006/relationships/hyperlink" Target="https://www.youtube.com/watch?v=HzFnVYy4nH4" TargetMode="External"/><Relationship Id="rId1165" Type="http://schemas.openxmlformats.org/officeDocument/2006/relationships/hyperlink" Target="https://takeuforward.org/data-structure/find-element-occuring-once-when-all-other-are-present-thrice/" TargetMode="External"/><Relationship Id="rId1166" Type="http://schemas.openxmlformats.org/officeDocument/2006/relationships/hyperlink" Target="https://leetcode.com/problems/single-number-ii/" TargetMode="External"/><Relationship Id="rId1167" Type="http://schemas.openxmlformats.org/officeDocument/2006/relationships/hyperlink" Target="https://www.geeksforgeeks.org/problems/find-element-occuring-once-when-all-other-are-present-thrice/1" TargetMode="External"/><Relationship Id="rId1168" Type="http://schemas.openxmlformats.org/officeDocument/2006/relationships/hyperlink" Target="https://www.youtube.com/watch?v=555562-n4b0" TargetMode="External"/><Relationship Id="rId1169" Type="http://schemas.openxmlformats.org/officeDocument/2006/relationships/hyperlink" Target="https://takeuforward.org/data-structure/check-if-a-number-is-a-power-of-two/" TargetMode="External"/><Relationship Id="rId1170" Type="http://schemas.openxmlformats.org/officeDocument/2006/relationships/hyperlink" Target="https://leetcode.com/problems/power-of-two/" TargetMode="External"/><Relationship Id="rId1171" Type="http://schemas.openxmlformats.org/officeDocument/2006/relationships/hyperlink" Target="https://www.geeksforgeeks.org/problems/power-of-2-1587115620/1" TargetMode="External"/><Relationship Id="rId1172" Type="http://schemas.openxmlformats.org/officeDocument/2006/relationships/hyperlink" Target="https://www.youtube.com/watch?v=555562-n4b0" TargetMode="External"/><Relationship Id="rId1173" Type="http://schemas.openxmlformats.org/officeDocument/2006/relationships/hyperlink" Target="https://takeuforward.org/data-structure/power-set-print-all-subsequences/" TargetMode="External"/><Relationship Id="rId1174" Type="http://schemas.openxmlformats.org/officeDocument/2006/relationships/hyperlink" Target="https://leetcode.com/problems/subsets/" TargetMode="External"/><Relationship Id="rId1175" Type="http://schemas.openxmlformats.org/officeDocument/2006/relationships/hyperlink" Target="https://www.geeksforgeeks.org/problems/subsets-1613028638/1" TargetMode="External"/><Relationship Id="rId1176" Type="http://schemas.openxmlformats.org/officeDocument/2006/relationships/hyperlink" Target="https://www.youtube.com/watch?v=b7AYbpM5YrE" TargetMode="External"/><Relationship Id="rId1177" Type="http://schemas.openxmlformats.org/officeDocument/2006/relationships/hyperlink" Target="https://takeuforward.org/data-structure/bitwise-and-of-numbers-range/" TargetMode="External"/><Relationship Id="rId1178" Type="http://schemas.openxmlformats.org/officeDocument/2006/relationships/hyperlink" Target="https://leetcode.com/problems/bitwise-and-of-numbers-range/" TargetMode="External"/><Relationship Id="rId1179" Type="http://schemas.openxmlformats.org/officeDocument/2006/relationships/hyperlink" Target="https://www.geeksforgeeks.org/problems/bitwise-and-of-the-range/1" TargetMode="External"/><Relationship Id="rId1180" Type="http://schemas.openxmlformats.org/officeDocument/2006/relationships/hyperlink" Target="https://www.youtube.com/watch?v=R3T0olA55yc" TargetMode="External"/><Relationship Id="rId1181" Type="http://schemas.openxmlformats.org/officeDocument/2006/relationships/hyperlink" Target="https://takeuforward.org/data-structure/minimum-flips-to-make-a-or-b-equal-to-c/" TargetMode="External"/><Relationship Id="rId1182" Type="http://schemas.openxmlformats.org/officeDocument/2006/relationships/hyperlink" Target="https://leetcode.com/problems/minimum-flips-to-make-a-or-b-equal-to-c/" TargetMode="External"/><Relationship Id="rId1183" Type="http://schemas.openxmlformats.org/officeDocument/2006/relationships/hyperlink" Target="https://www.geeksforgeeks.org/problems/minimum-flips-to-make-a-or-b-equal-to-c/1" TargetMode="External"/><Relationship Id="rId1184" Type="http://schemas.openxmlformats.org/officeDocument/2006/relationships/hyperlink" Target="https://www.youtube.com/watch?v=qM-w7cUt33E" TargetMode="External"/><Relationship Id="rId1185" Type="http://schemas.openxmlformats.org/officeDocument/2006/relationships/hyperlink" Target="https://takeuforward.org/data-structure/divide-two-integers-without-using-multiplication-division-and-mod-operator/" TargetMode="External"/><Relationship Id="rId1186" Type="http://schemas.openxmlformats.org/officeDocument/2006/relationships/hyperlink" Target="https://leetcode.com/problems/divide-two-integers/" TargetMode="External"/><Relationship Id="rId1187" Type="http://schemas.openxmlformats.org/officeDocument/2006/relationships/hyperlink" Target="https://www.geeksforgeeks.org/problems/divide-two-integers-without-using-multiplication-division-and-mod-operator/1" TargetMode="External"/><Relationship Id="rId1188" Type="http://schemas.openxmlformats.org/officeDocument/2006/relationships/hyperlink" Target="https://www.youtube.com/watch?v=m4L_5qG4vWM" TargetMode="External"/><Relationship Id="rId1189" Type="http://schemas.openxmlformats.org/officeDocument/2006/relationships/hyperlink" Target="https://takeuforward.org/data-structure/palindrome-number/" TargetMode="External"/><Relationship Id="rId1190" Type="http://schemas.openxmlformats.org/officeDocument/2006/relationships/hyperlink" Target="https://leetcode.com/problems/palindrome-number/" TargetMode="External"/><Relationship Id="rId1191" Type="http://schemas.openxmlformats.org/officeDocument/2006/relationships/hyperlink" Target="https://www.geeksforgeeks.org/problems/palindrome0432/1" TargetMode="External"/><Relationship Id="rId1192" Type="http://schemas.openxmlformats.org/officeDocument/2006/relationships/hyperlink" Target="https://www.youtube.com/watch?v=yGf5TKnkP9A" TargetMode="External"/><Relationship Id="rId1193" Type="http://schemas.openxmlformats.org/officeDocument/2006/relationships/hyperlink" Target="https://takeuforward.org/data-structure/fizz-buzz-basic-math/" TargetMode="External"/><Relationship Id="rId1194" Type="http://schemas.openxmlformats.org/officeDocument/2006/relationships/hyperlink" Target="https://leetcode.com/problems/fizz-buzz/" TargetMode="External"/><Relationship Id="rId1195" Type="http://schemas.openxmlformats.org/officeDocument/2006/relationships/hyperlink" Target="https://www.geeksforgeeks.org/problems/fizz-buzz/1" TargetMode="External"/><Relationship Id="rId1196" Type="http://schemas.openxmlformats.org/officeDocument/2006/relationships/hyperlink" Target="https://www.youtube.com/watch?v=QPZ0pDK159s" TargetMode="External"/><Relationship Id="rId1197" Type="http://schemas.openxmlformats.org/officeDocument/2006/relationships/hyperlink" Target="https://takeuforward.org/data-structure/implement-powx-n-x-raised-to-the-power-n/" TargetMode="External"/><Relationship Id="rId1198" Type="http://schemas.openxmlformats.org/officeDocument/2006/relationships/hyperlink" Target="https://leetcode.com/problems/powx-n/" TargetMode="External"/><Relationship Id="rId1199" Type="http://schemas.openxmlformats.org/officeDocument/2006/relationships/hyperlink" Target="https://www.geeksforgeeks.org/problems/power-of-numbers-1587115620/1" TargetMode="External"/><Relationship Id="rId1200" Type="http://schemas.openxmlformats.org/officeDocument/2006/relationships/hyperlink" Target="https://www.youtube.com/watch?v=l0YC3876qxg" TargetMode="External"/><Relationship Id="rId1201" Type="http://schemas.openxmlformats.org/officeDocument/2006/relationships/hyperlink" Target="https://takeuforward.org/data-structure/prime-factorisation-using-sieve-gfg/" TargetMode="External"/><Relationship Id="rId1202" Type="http://schemas.openxmlformats.org/officeDocument/2006/relationships/hyperlink" Target="https://leetcode.com/problems/count-primes/" TargetMode="External"/><Relationship Id="rId1203" Type="http://schemas.openxmlformats.org/officeDocument/2006/relationships/hyperlink" Target="https://www.geeksforgeeks.org/problems/count-primes-in-a-range/1" TargetMode="External"/><Relationship Id="rId1204" Type="http://schemas.openxmlformats.org/officeDocument/2006/relationships/hyperlink" Target="https://www.youtube.com/watch?v=g5Fuxx2y2bE" TargetMode="External"/><Relationship Id="rId1205" Type="http://schemas.openxmlformats.org/officeDocument/2006/relationships/hyperlink" Target="https://takeuforward.org/data-structure/happy-number/" TargetMode="External"/><Relationship Id="rId1206" Type="http://schemas.openxmlformats.org/officeDocument/2006/relationships/hyperlink" Target="https://leetcode.com/problems/happy-number/" TargetMode="External"/><Relationship Id="rId1207" Type="http://schemas.openxmlformats.org/officeDocument/2006/relationships/hyperlink" Target="https://www.geeksforgeeks.org/problems/happy-number/1" TargetMode="External"/><Relationship Id="rId1208" Type="http://schemas.openxmlformats.org/officeDocument/2006/relationships/hyperlink" Target="https://www.youtube.com/watch?v=F_fP-k71Lqo" TargetMode="External"/><Relationship Id="rId1209" Type="http://schemas.openxmlformats.org/officeDocument/2006/relationships/hyperlink" Target="https://takeuforward.org/data-structure/factorial-trailing-zeroes/" TargetMode="External"/><Relationship Id="rId1210" Type="http://schemas.openxmlformats.org/officeDocument/2006/relationships/hyperlink" Target="https://leetcode.com/problems/factorial-trailing-zeroes/" TargetMode="External"/><Relationship Id="rId1211" Type="http://schemas.openxmlformats.org/officeDocument/2006/relationships/hyperlink" Target="https://www.geeksforgeeks.org/problems/trailing-zeroes-in-factorial5134/1" TargetMode="External"/><Relationship Id="rId1212" Type="http://schemas.openxmlformats.org/officeDocument/2006/relationships/hyperlink" Target="https://www.youtube.com/watch?v=3Hj4-2yD-w8" TargetMode="External"/><Relationship Id="rId1213" Type="http://schemas.openxmlformats.org/officeDocument/2006/relationships/hyperlink" Target="https://takeuforward.org/data-structure/grid-unique-paths-dp-on-grids-dp8/" TargetMode="External"/><Relationship Id="rId1214" Type="http://schemas.openxmlformats.org/officeDocument/2006/relationships/hyperlink" Target="https://leetcode.com/problems/unique-paths/" TargetMode="External"/><Relationship Id="rId1215" Type="http://schemas.openxmlformats.org/officeDocument/2006/relationships/hyperlink" Target="https://www.geeksforgeeks.org/problems/number-of-unique-paths5339/1" TargetMode="External"/><Relationship Id="rId1216" Type="http://schemas.openxmlformats.org/officeDocument/2006/relationships/hyperlink" Target="https://www.youtube.com/watch?v=t_f0nElzyc4" TargetMode="External"/><Relationship Id="rId1217" Type="http://schemas.openxmlformats.org/officeDocument/2006/relationships/hyperlink" Target="https://takeuforward.org/data-structure/sieve-of-eratosthenes-in-detail/" TargetMode="External"/><Relationship Id="rId1218" Type="http://schemas.openxmlformats.org/officeDocument/2006/relationships/hyperlink" Target="https://leetcode.com/problems/count-primes/" TargetMode="External"/><Relationship Id="rId1219" Type="http://schemas.openxmlformats.org/officeDocument/2006/relationships/hyperlink" Target="https://www.geeksforgeeks.org/problems/sieve-of-eratosthenes5242/1" TargetMode="External"/><Relationship Id="rId1220" Type="http://schemas.openxmlformats.org/officeDocument/2006/relationships/hyperlink" Target="https://www.youtube.com/watch?v=g5Fuxx2y2bE" TargetMode="External"/><Relationship Id="rId1221" Type="http://schemas.openxmlformats.org/officeDocument/2006/relationships/hyperlink" Target="https://takeuforward.org/data-structure/find-gcd-of-two-numbers/" TargetMode="External"/><Relationship Id="rId1222" Type="http://schemas.openxmlformats.org/officeDocument/2006/relationships/hyperlink" Target="https://leetcode.com/problems/find-greatest-common-divisor-of-array/" TargetMode="External"/><Relationship Id="rId1223" Type="http://schemas.openxmlformats.org/officeDocument/2006/relationships/hyperlink" Target="https://www.geeksforgeeks.org/problems/lcm-and-gcd1551/1" TargetMode="External"/><Relationship Id="rId1224" Type="http://schemas.openxmlformats.org/officeDocument/2006/relationships/hyperlink" Target="https://www.youtube.com/watch?v=1xN5Aev0aM0" TargetMode="External"/><Relationship Id="rId1225" Type="http://schemas.openxmlformats.org/officeDocument/2006/relationships/hyperlink" Target="https://takeuforward.org/data-structure/prime-factorisation-using-sieve-gfg/" TargetMode="External"/><Relationship Id="rId1226" Type="http://schemas.openxmlformats.org/officeDocument/2006/relationships/hyperlink" Target="https://leetcode.com/problems/count-primes/" TargetMode="External"/><Relationship Id="rId1227" Type="http://schemas.openxmlformats.org/officeDocument/2006/relationships/hyperlink" Target="https://www.geeksforgeeks.org/problems/prime-factorization-1587115620/1" TargetMode="External"/><Relationship Id="rId1228" Type="http://schemas.openxmlformats.org/officeDocument/2006/relationships/hyperlink" Target="https://www.youtube.com/watch?v=g5Fuxx2y2bE" TargetMode="External"/><Relationship Id="rId1229" Type="http://schemas.openxmlformats.org/officeDocument/2006/relationships/table" Target="../tables/table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takeuforward.org/dbms/complete-dbms-notes/" TargetMode="External"/><Relationship Id="rId2" Type="http://schemas.openxmlformats.org/officeDocument/2006/relationships/hyperlink" Target="https://takeuforward.org/dbms/complete-dbms-notes/" TargetMode="External"/><Relationship Id="rId3" Type="http://schemas.openxmlformats.org/officeDocument/2006/relationships/hyperlink" Target="https://takeuforward.org/dbms/complete-dbms-notes/" TargetMode="External"/><Relationship Id="rId4" Type="http://schemas.openxmlformats.org/officeDocument/2006/relationships/hyperlink" Target="https://takeuforward.org/dbms/complete-dbms-notes/" TargetMode="External"/><Relationship Id="rId5" Type="http://schemas.openxmlformats.org/officeDocument/2006/relationships/hyperlink" Target="https://takeuforward.org/dbms/complete-dbms-notes/" TargetMode="External"/><Relationship Id="rId6" Type="http://schemas.openxmlformats.org/officeDocument/2006/relationships/table" Target="../tables/table8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D17"/>
  <sheetViews>
    <sheetView showGridLines="0" tabSelected="1" workbookViewId="0"/>
  </sheetViews>
  <sheetFormatPr defaultRowHeight="15"/>
  <cols>
    <col min="1" max="1" width="3.7109375" customWidth="1"/>
    <col min="2" max="2" width="30.7109375" customWidth="1"/>
    <col min="3" max="3" width="60.7109375" customWidth="1"/>
  </cols>
  <sheetData>
    <row r="2" spans="2:4">
      <c r="B2" s="1" t="s">
        <v>0</v>
      </c>
    </row>
    <row r="3" spans="2:4">
      <c r="B3" s="2" t="s">
        <v>1</v>
      </c>
    </row>
    <row r="5" spans="2:4">
      <c r="B5" s="3" t="s">
        <v>2</v>
      </c>
    </row>
    <row r="6" spans="2:4">
      <c r="B6" s="4" t="s">
        <v>3</v>
      </c>
    </row>
    <row r="8" spans="2:4">
      <c r="B8" s="3" t="s">
        <v>4</v>
      </c>
    </row>
    <row r="9" spans="2:4">
      <c r="B9" s="5" t="s">
        <v>5</v>
      </c>
      <c r="C9" s="5" t="s">
        <v>6</v>
      </c>
      <c r="D9" s="5" t="s">
        <v>7</v>
      </c>
    </row>
    <row r="10" spans="2:4">
      <c r="B10" s="6" t="s">
        <v>8</v>
      </c>
      <c r="C10" s="6" t="s">
        <v>9</v>
      </c>
      <c r="D10" s="6" t="s">
        <v>10</v>
      </c>
    </row>
    <row r="11" spans="2:4">
      <c r="B11" s="7" t="s">
        <v>11</v>
      </c>
      <c r="C11" s="7" t="s">
        <v>12</v>
      </c>
      <c r="D11" s="7" t="s">
        <v>13</v>
      </c>
    </row>
    <row r="12" spans="2:4">
      <c r="B12" s="8" t="s">
        <v>14</v>
      </c>
      <c r="C12" s="8" t="s">
        <v>15</v>
      </c>
      <c r="D12" s="8" t="s">
        <v>16</v>
      </c>
    </row>
    <row r="14" spans="2:4">
      <c r="B14" s="3" t="s">
        <v>17</v>
      </c>
    </row>
    <row r="15" spans="2:4">
      <c r="B15" s="5" t="s">
        <v>18</v>
      </c>
      <c r="C15" s="5" t="s">
        <v>19</v>
      </c>
      <c r="D15" s="5" t="s">
        <v>20</v>
      </c>
    </row>
    <row r="16" spans="2:4">
      <c r="B16" s="9" t="s">
        <v>21</v>
      </c>
      <c r="C16" s="4" t="s">
        <v>22</v>
      </c>
      <c r="D16" s="4" t="s">
        <v>23</v>
      </c>
    </row>
    <row r="17" spans="2:4">
      <c r="B17" s="9" t="s">
        <v>24</v>
      </c>
      <c r="C17" s="4" t="s">
        <v>25</v>
      </c>
      <c r="D17" s="4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showGridLines="0" workbookViewId="0"/>
  </sheetViews>
  <sheetFormatPr defaultRowHeight="15"/>
  <cols>
    <col min="1" max="6" width="15.7109375" customWidth="1"/>
    <col min="8" max="11" width="15.7109375" customWidth="1"/>
  </cols>
  <sheetData>
    <row r="1" spans="1:10">
      <c r="A1" s="5" t="s">
        <v>27</v>
      </c>
      <c r="B1" s="5" t="s">
        <v>33</v>
      </c>
      <c r="C1" s="5" t="s">
        <v>37</v>
      </c>
      <c r="D1" s="5" t="s">
        <v>38</v>
      </c>
      <c r="E1" s="5" t="s">
        <v>65</v>
      </c>
      <c r="F1" s="5" t="s">
        <v>76</v>
      </c>
      <c r="G1" s="5" t="s">
        <v>77</v>
      </c>
      <c r="H1" t="s">
        <v>87</v>
      </c>
      <c r="I1" t="s">
        <v>88</v>
      </c>
      <c r="J1" s="5" t="s">
        <v>89</v>
      </c>
    </row>
    <row r="2" spans="1:10">
      <c r="A2" s="4" t="s">
        <v>28</v>
      </c>
      <c r="B2" s="4" t="s">
        <v>34</v>
      </c>
      <c r="C2" s="4" t="s">
        <v>8</v>
      </c>
      <c r="D2" s="4" t="s">
        <v>39</v>
      </c>
      <c r="E2" s="4" t="s">
        <v>66</v>
      </c>
      <c r="F2" s="4">
        <v>1</v>
      </c>
      <c r="G2" s="4" t="s">
        <v>78</v>
      </c>
      <c r="H2" s="10">
        <f>TODAY()</f>
        <v>0</v>
      </c>
      <c r="I2" s="11">
        <f>IF(COUNTIF(tblMasterDatabase[Attempt Date], H2)&gt;0, 1, 0)</f>
        <v>0</v>
      </c>
      <c r="J2" s="4" t="s">
        <v>39</v>
      </c>
    </row>
    <row r="3" spans="1:10">
      <c r="A3" s="4" t="s">
        <v>29</v>
      </c>
      <c r="B3" s="4" t="s">
        <v>35</v>
      </c>
      <c r="C3" s="4" t="s">
        <v>11</v>
      </c>
      <c r="D3" s="4" t="s">
        <v>40</v>
      </c>
      <c r="E3" s="4" t="s">
        <v>67</v>
      </c>
      <c r="F3" s="4">
        <v>2</v>
      </c>
      <c r="G3" s="4" t="s">
        <v>79</v>
      </c>
      <c r="H3" s="10">
        <f>H2-1</f>
        <v>0</v>
      </c>
      <c r="I3" s="11">
        <f>IF(COUNTIF(tblMasterDatabase[Attempt Date], H3)&gt;0, 1, 0)</f>
        <v>0</v>
      </c>
      <c r="J3" s="4" t="s">
        <v>90</v>
      </c>
    </row>
    <row r="4" spans="1:10">
      <c r="A4" s="4" t="s">
        <v>30</v>
      </c>
      <c r="B4" s="4" t="s">
        <v>36</v>
      </c>
      <c r="C4" s="4" t="s">
        <v>14</v>
      </c>
      <c r="D4" s="4" t="s">
        <v>41</v>
      </c>
      <c r="E4" s="4" t="s">
        <v>68</v>
      </c>
      <c r="F4" s="4">
        <v>3</v>
      </c>
      <c r="G4" s="4" t="s">
        <v>80</v>
      </c>
      <c r="H4" s="10">
        <f>H3-1</f>
        <v>0</v>
      </c>
      <c r="I4" s="11">
        <f>IF(COUNTIF(tblMasterDatabase[Attempt Date], H4)&gt;0, 1, 0)</f>
        <v>0</v>
      </c>
      <c r="J4" s="4" t="s">
        <v>91</v>
      </c>
    </row>
    <row r="5" spans="1:10">
      <c r="A5" s="4" t="s">
        <v>31</v>
      </c>
      <c r="D5" s="4" t="s">
        <v>42</v>
      </c>
      <c r="E5" s="4" t="s">
        <v>69</v>
      </c>
      <c r="F5" s="4">
        <v>4</v>
      </c>
      <c r="G5" s="4" t="s">
        <v>81</v>
      </c>
      <c r="H5" s="10">
        <f>H4-1</f>
        <v>0</v>
      </c>
      <c r="I5" s="11">
        <f>IF(COUNTIF(tblMasterDatabase[Attempt Date], H5)&gt;0, 1, 0)</f>
        <v>0</v>
      </c>
      <c r="J5" s="4" t="s">
        <v>43</v>
      </c>
    </row>
    <row r="6" spans="1:10">
      <c r="A6" s="4" t="s">
        <v>32</v>
      </c>
      <c r="D6" s="4" t="s">
        <v>43</v>
      </c>
      <c r="E6" s="4" t="s">
        <v>70</v>
      </c>
      <c r="F6" s="4">
        <v>5</v>
      </c>
      <c r="G6" s="4" t="s">
        <v>82</v>
      </c>
      <c r="H6" s="10">
        <f>H5-1</f>
        <v>0</v>
      </c>
      <c r="I6" s="11">
        <f>IF(COUNTIF(tblMasterDatabase[Attempt Date], H6)&gt;0, 1, 0)</f>
        <v>0</v>
      </c>
      <c r="J6" s="4" t="s">
        <v>59</v>
      </c>
    </row>
    <row r="7" spans="1:10">
      <c r="D7" s="4" t="s">
        <v>44</v>
      </c>
      <c r="E7" s="4" t="s">
        <v>71</v>
      </c>
      <c r="G7" s="4" t="s">
        <v>83</v>
      </c>
      <c r="H7" s="10">
        <f>H6-1</f>
        <v>0</v>
      </c>
      <c r="I7" s="11">
        <f>IF(COUNTIF(tblMasterDatabase[Attempt Date], H7)&gt;0, 1, 0)</f>
        <v>0</v>
      </c>
      <c r="J7" s="4" t="s">
        <v>63</v>
      </c>
    </row>
    <row r="8" spans="1:10">
      <c r="D8" s="4" t="s">
        <v>45</v>
      </c>
      <c r="E8" s="4" t="s">
        <v>72</v>
      </c>
      <c r="G8" s="4" t="s">
        <v>84</v>
      </c>
      <c r="H8" s="10">
        <f>H7-1</f>
        <v>0</v>
      </c>
      <c r="I8" s="11">
        <f>IF(COUNTIF(tblMasterDatabase[Attempt Date], H8)&gt;0, 1, 0)</f>
        <v>0</v>
      </c>
      <c r="J8" s="4" t="s">
        <v>53</v>
      </c>
    </row>
    <row r="9" spans="1:10">
      <c r="D9" s="4" t="s">
        <v>46</v>
      </c>
      <c r="E9" s="4" t="s">
        <v>73</v>
      </c>
      <c r="G9" s="4" t="s">
        <v>85</v>
      </c>
      <c r="H9" s="10">
        <f>H8-1</f>
        <v>0</v>
      </c>
      <c r="I9" s="11">
        <f>IF(COUNTIF(tblMasterDatabase[Attempt Date], H9)&gt;0, 1, 0)</f>
        <v>0</v>
      </c>
      <c r="J9" s="4" t="s">
        <v>92</v>
      </c>
    </row>
    <row r="10" spans="1:10">
      <c r="D10" s="4" t="s">
        <v>47</v>
      </c>
      <c r="E10" s="4" t="s">
        <v>74</v>
      </c>
      <c r="G10" s="4" t="s">
        <v>86</v>
      </c>
      <c r="H10" s="10">
        <f>H9-1</f>
        <v>0</v>
      </c>
      <c r="I10" s="11">
        <f>IF(COUNTIF(tblMasterDatabase[Attempt Date], H10)&gt;0, 1, 0)</f>
        <v>0</v>
      </c>
      <c r="J10" s="4" t="s">
        <v>48</v>
      </c>
    </row>
    <row r="11" spans="1:10">
      <c r="D11" s="4" t="s">
        <v>48</v>
      </c>
      <c r="E11" s="4" t="s">
        <v>75</v>
      </c>
      <c r="H11" s="10">
        <f>H10-1</f>
        <v>0</v>
      </c>
      <c r="I11" s="11">
        <f>IF(COUNTIF(tblMasterDatabase[Attempt Date], H11)&gt;0, 1, 0)</f>
        <v>0</v>
      </c>
      <c r="J11" s="4" t="s">
        <v>93</v>
      </c>
    </row>
    <row r="12" spans="1:10">
      <c r="D12" s="4" t="s">
        <v>49</v>
      </c>
      <c r="H12" s="10">
        <f>H11-1</f>
        <v>0</v>
      </c>
      <c r="I12" s="11">
        <f>IF(COUNTIF(tblMasterDatabase[Attempt Date], H12)&gt;0, 1, 0)</f>
        <v>0</v>
      </c>
      <c r="J12" s="4" t="s">
        <v>41</v>
      </c>
    </row>
    <row r="13" spans="1:10">
      <c r="D13" s="4" t="s">
        <v>50</v>
      </c>
      <c r="H13" s="10">
        <f>H12-1</f>
        <v>0</v>
      </c>
      <c r="I13" s="11">
        <f>IF(COUNTIF(tblMasterDatabase[Attempt Date], H13)&gt;0, 1, 0)</f>
        <v>0</v>
      </c>
      <c r="J13" s="4" t="s">
        <v>50</v>
      </c>
    </row>
    <row r="14" spans="1:10">
      <c r="D14" s="4" t="s">
        <v>51</v>
      </c>
      <c r="H14" s="10">
        <f>H13-1</f>
        <v>0</v>
      </c>
      <c r="I14" s="11">
        <f>IF(COUNTIF(tblMasterDatabase[Attempt Date], H14)&gt;0, 1, 0)</f>
        <v>0</v>
      </c>
      <c r="J14" s="4" t="s">
        <v>94</v>
      </c>
    </row>
    <row r="15" spans="1:10">
      <c r="D15" s="4" t="s">
        <v>52</v>
      </c>
      <c r="H15" s="10">
        <f>H14-1</f>
        <v>0</v>
      </c>
      <c r="I15" s="11">
        <f>IF(COUNTIF(tblMasterDatabase[Attempt Date], H15)&gt;0, 1, 0)</f>
        <v>0</v>
      </c>
      <c r="J15" s="4" t="s">
        <v>47</v>
      </c>
    </row>
    <row r="16" spans="1:10">
      <c r="D16" s="4" t="s">
        <v>53</v>
      </c>
      <c r="H16" s="10">
        <f>H15-1</f>
        <v>0</v>
      </c>
      <c r="I16" s="11">
        <f>IF(COUNTIF(tblMasterDatabase[Attempt Date], H16)&gt;0, 1, 0)</f>
        <v>0</v>
      </c>
      <c r="J16" s="4" t="s">
        <v>45</v>
      </c>
    </row>
    <row r="17" spans="4:10">
      <c r="D17" s="4" t="s">
        <v>54</v>
      </c>
      <c r="H17" s="10">
        <f>H16-1</f>
        <v>0</v>
      </c>
      <c r="I17" s="11">
        <f>IF(COUNTIF(tblMasterDatabase[Attempt Date], H17)&gt;0, 1, 0)</f>
        <v>0</v>
      </c>
      <c r="J17" s="4" t="s">
        <v>95</v>
      </c>
    </row>
    <row r="18" spans="4:10">
      <c r="D18" s="4" t="s">
        <v>55</v>
      </c>
      <c r="H18" s="10">
        <f>H17-1</f>
        <v>0</v>
      </c>
      <c r="I18" s="11">
        <f>IF(COUNTIF(tblMasterDatabase[Attempt Date], H18)&gt;0, 1, 0)</f>
        <v>0</v>
      </c>
    </row>
    <row r="19" spans="4:10">
      <c r="D19" s="4" t="s">
        <v>56</v>
      </c>
      <c r="H19" s="10">
        <f>H18-1</f>
        <v>0</v>
      </c>
      <c r="I19" s="11">
        <f>IF(COUNTIF(tblMasterDatabase[Attempt Date], H19)&gt;0, 1, 0)</f>
        <v>0</v>
      </c>
    </row>
    <row r="20" spans="4:10">
      <c r="D20" s="4" t="s">
        <v>57</v>
      </c>
      <c r="H20" s="10">
        <f>H19-1</f>
        <v>0</v>
      </c>
      <c r="I20" s="11">
        <f>IF(COUNTIF(tblMasterDatabase[Attempt Date], H20)&gt;0, 1, 0)</f>
        <v>0</v>
      </c>
    </row>
    <row r="21" spans="4:10">
      <c r="D21" s="4" t="s">
        <v>58</v>
      </c>
      <c r="H21" s="10">
        <f>H20-1</f>
        <v>0</v>
      </c>
      <c r="I21" s="11">
        <f>IF(COUNTIF(tblMasterDatabase[Attempt Date], H21)&gt;0, 1, 0)</f>
        <v>0</v>
      </c>
    </row>
    <row r="22" spans="4:10">
      <c r="D22" s="4" t="s">
        <v>59</v>
      </c>
      <c r="H22" s="10">
        <f>H21-1</f>
        <v>0</v>
      </c>
      <c r="I22" s="11">
        <f>IF(COUNTIF(tblMasterDatabase[Attempt Date], H22)&gt;0, 1, 0)</f>
        <v>0</v>
      </c>
    </row>
    <row r="23" spans="4:10">
      <c r="D23" s="4" t="s">
        <v>60</v>
      </c>
      <c r="H23" s="10">
        <f>H22-1</f>
        <v>0</v>
      </c>
      <c r="I23" s="11">
        <f>IF(COUNTIF(tblMasterDatabase[Attempt Date], H23)&gt;0, 1, 0)</f>
        <v>0</v>
      </c>
    </row>
    <row r="24" spans="4:10">
      <c r="D24" s="4" t="s">
        <v>61</v>
      </c>
      <c r="H24" s="10">
        <f>H23-1</f>
        <v>0</v>
      </c>
      <c r="I24" s="11">
        <f>IF(COUNTIF(tblMasterDatabase[Attempt Date], H24)&gt;0, 1, 0)</f>
        <v>0</v>
      </c>
    </row>
    <row r="25" spans="4:10">
      <c r="D25" s="4" t="s">
        <v>62</v>
      </c>
      <c r="H25" s="10">
        <f>H24-1</f>
        <v>0</v>
      </c>
      <c r="I25" s="11">
        <f>IF(COUNTIF(tblMasterDatabase[Attempt Date], H25)&gt;0, 1, 0)</f>
        <v>0</v>
      </c>
    </row>
    <row r="26" spans="4:10">
      <c r="D26" s="4" t="s">
        <v>63</v>
      </c>
      <c r="H26" s="10">
        <f>H25-1</f>
        <v>0</v>
      </c>
      <c r="I26" s="11">
        <f>IF(COUNTIF(tblMasterDatabase[Attempt Date], H26)&gt;0, 1, 0)</f>
        <v>0</v>
      </c>
    </row>
    <row r="27" spans="4:10">
      <c r="D27" s="4" t="s">
        <v>64</v>
      </c>
      <c r="H27" s="10">
        <f>H26-1</f>
        <v>0</v>
      </c>
      <c r="I27" s="11">
        <f>IF(COUNTIF(tblMasterDatabase[Attempt Date], H27)&gt;0, 1, 0)</f>
        <v>0</v>
      </c>
    </row>
    <row r="28" spans="4:10">
      <c r="H28" s="10">
        <f>H27-1</f>
        <v>0</v>
      </c>
      <c r="I28" s="11">
        <f>IF(COUNTIF(tblMasterDatabase[Attempt Date], H28)&gt;0, 1, 0)</f>
        <v>0</v>
      </c>
    </row>
    <row r="29" spans="4:10">
      <c r="H29" s="10">
        <f>H28-1</f>
        <v>0</v>
      </c>
      <c r="I29" s="11">
        <f>IF(COUNTIF(tblMasterDatabase[Attempt Date], H29)&gt;0, 1, 0)</f>
        <v>0</v>
      </c>
    </row>
    <row r="30" spans="4:10">
      <c r="H30" s="10">
        <f>H29-1</f>
        <v>0</v>
      </c>
      <c r="I30" s="11">
        <f>IF(COUNTIF(tblMasterDatabase[Attempt Date], H30)&gt;0, 1, 0)</f>
        <v>0</v>
      </c>
    </row>
    <row r="31" spans="4:10">
      <c r="H31" s="10">
        <f>H30-1</f>
        <v>0</v>
      </c>
      <c r="I31" s="11">
        <f>IF(COUNTIF(tblMasterDatabase[Attempt Date], H31)&gt;0, 1, 0)</f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L29"/>
  <sheetViews>
    <sheetView showGridLines="0" workbookViewId="0"/>
  </sheetViews>
  <sheetFormatPr defaultRowHeight="15"/>
  <cols>
    <col min="1" max="1" width="15.7109375" customWidth="1"/>
    <col min="2" max="5" width="35.7109375" customWidth="1"/>
    <col min="6" max="7" width="16.7109375" customWidth="1"/>
    <col min="8" max="9" width="30.7109375" customWidth="1"/>
    <col min="10" max="10" width="8.7109375" customWidth="1"/>
    <col min="11" max="11" width="12.7109375" customWidth="1"/>
    <col min="12" max="12" width="15.7109375" customWidth="1"/>
  </cols>
  <sheetData>
    <row r="1" spans="1:12">
      <c r="A1" s="1" t="s">
        <v>96</v>
      </c>
    </row>
    <row r="3" spans="1:12">
      <c r="A3" t="s">
        <v>97</v>
      </c>
      <c r="B3" t="s">
        <v>98</v>
      </c>
      <c r="C3" t="s">
        <v>99</v>
      </c>
      <c r="D3" t="s">
        <v>100</v>
      </c>
      <c r="E3" t="s">
        <v>101</v>
      </c>
      <c r="F3" t="s">
        <v>102</v>
      </c>
      <c r="G3" t="s">
        <v>103</v>
      </c>
      <c r="H3" t="s">
        <v>104</v>
      </c>
      <c r="I3" t="s">
        <v>105</v>
      </c>
      <c r="J3" t="s">
        <v>106</v>
      </c>
      <c r="K3" t="s">
        <v>107</v>
      </c>
      <c r="L3" t="s">
        <v>108</v>
      </c>
    </row>
    <row r="4" spans="1:12">
      <c r="A4" s="4" t="s">
        <v>39</v>
      </c>
      <c r="B4" s="4" t="s">
        <v>109</v>
      </c>
      <c r="C4" s="4" t="s">
        <v>110</v>
      </c>
      <c r="D4" s="4" t="s">
        <v>111</v>
      </c>
      <c r="E4" s="4" t="s">
        <v>112</v>
      </c>
      <c r="F4" s="12" t="s">
        <v>113</v>
      </c>
      <c r="G4" s="12" t="s">
        <v>114</v>
      </c>
      <c r="H4" s="4" t="s">
        <v>115</v>
      </c>
      <c r="I4" s="4" t="s">
        <v>116</v>
      </c>
      <c r="J4" s="11">
        <v>10</v>
      </c>
      <c r="K4" s="12" t="s">
        <v>117</v>
      </c>
      <c r="L4" s="12" t="s">
        <v>118</v>
      </c>
    </row>
    <row r="5" spans="1:12">
      <c r="A5" s="4" t="s">
        <v>49</v>
      </c>
      <c r="B5" s="4" t="s">
        <v>119</v>
      </c>
      <c r="C5" s="4" t="s">
        <v>120</v>
      </c>
      <c r="D5" s="4" t="s">
        <v>121</v>
      </c>
      <c r="E5" s="4" t="s">
        <v>122</v>
      </c>
      <c r="F5" s="12" t="s">
        <v>123</v>
      </c>
      <c r="G5" s="12" t="s">
        <v>124</v>
      </c>
      <c r="H5" s="4" t="s">
        <v>125</v>
      </c>
      <c r="I5" s="4" t="s">
        <v>126</v>
      </c>
      <c r="J5" s="11">
        <v>10</v>
      </c>
      <c r="K5" s="12" t="s">
        <v>117</v>
      </c>
      <c r="L5" s="12" t="s">
        <v>118</v>
      </c>
    </row>
    <row r="6" spans="1:12">
      <c r="A6" s="4" t="s">
        <v>59</v>
      </c>
      <c r="B6" s="4" t="s">
        <v>127</v>
      </c>
      <c r="C6" s="4" t="s">
        <v>128</v>
      </c>
      <c r="D6" s="4" t="s">
        <v>129</v>
      </c>
      <c r="E6" s="4" t="s">
        <v>130</v>
      </c>
      <c r="F6" s="12" t="s">
        <v>131</v>
      </c>
      <c r="G6" s="12" t="s">
        <v>132</v>
      </c>
      <c r="H6" s="4" t="s">
        <v>133</v>
      </c>
      <c r="I6" s="4" t="s">
        <v>134</v>
      </c>
      <c r="J6" s="11">
        <v>9</v>
      </c>
      <c r="K6" s="12" t="s">
        <v>117</v>
      </c>
      <c r="L6" s="12" t="s">
        <v>135</v>
      </c>
    </row>
    <row r="7" spans="1:12">
      <c r="A7" s="4" t="s">
        <v>63</v>
      </c>
      <c r="B7" s="4" t="s">
        <v>136</v>
      </c>
      <c r="C7" s="4" t="s">
        <v>137</v>
      </c>
      <c r="D7" s="4" t="s">
        <v>138</v>
      </c>
      <c r="E7" s="4" t="s">
        <v>139</v>
      </c>
      <c r="F7" s="12" t="s">
        <v>131</v>
      </c>
      <c r="G7" s="12" t="s">
        <v>140</v>
      </c>
      <c r="H7" s="4" t="s">
        <v>141</v>
      </c>
      <c r="I7" s="4" t="s">
        <v>142</v>
      </c>
      <c r="J7" s="11">
        <v>10</v>
      </c>
      <c r="K7" s="12" t="s">
        <v>117</v>
      </c>
      <c r="L7" s="12" t="s">
        <v>118</v>
      </c>
    </row>
    <row r="8" spans="1:12">
      <c r="A8" s="4" t="s">
        <v>56</v>
      </c>
      <c r="B8" s="4" t="s">
        <v>143</v>
      </c>
      <c r="C8" s="4" t="s">
        <v>144</v>
      </c>
      <c r="D8" s="4" t="s">
        <v>145</v>
      </c>
      <c r="E8" s="4" t="s">
        <v>146</v>
      </c>
      <c r="F8" s="12" t="s">
        <v>147</v>
      </c>
      <c r="G8" s="12" t="s">
        <v>131</v>
      </c>
      <c r="H8" s="4" t="s">
        <v>148</v>
      </c>
      <c r="I8" s="4" t="s">
        <v>149</v>
      </c>
      <c r="J8" s="11">
        <v>9</v>
      </c>
      <c r="K8" s="12" t="s">
        <v>150</v>
      </c>
      <c r="L8" s="12" t="s">
        <v>35</v>
      </c>
    </row>
    <row r="9" spans="1:12">
      <c r="A9" s="4" t="s">
        <v>52</v>
      </c>
      <c r="B9" s="4" t="s">
        <v>151</v>
      </c>
      <c r="C9" s="4" t="s">
        <v>152</v>
      </c>
      <c r="D9" s="4" t="s">
        <v>153</v>
      </c>
      <c r="E9" s="4" t="s">
        <v>154</v>
      </c>
      <c r="F9" s="12" t="s">
        <v>131</v>
      </c>
      <c r="G9" s="12" t="s">
        <v>140</v>
      </c>
      <c r="H9" s="4" t="s">
        <v>155</v>
      </c>
      <c r="I9" s="4" t="s">
        <v>156</v>
      </c>
      <c r="J9" s="11">
        <v>10</v>
      </c>
      <c r="K9" s="12" t="s">
        <v>117</v>
      </c>
      <c r="L9" s="12" t="s">
        <v>118</v>
      </c>
    </row>
    <row r="10" spans="1:12">
      <c r="A10" s="4" t="s">
        <v>43</v>
      </c>
      <c r="B10" s="4" t="s">
        <v>157</v>
      </c>
      <c r="C10" s="4" t="s">
        <v>158</v>
      </c>
      <c r="D10" s="4" t="s">
        <v>159</v>
      </c>
      <c r="E10" s="4" t="s">
        <v>160</v>
      </c>
      <c r="F10" s="12" t="s">
        <v>161</v>
      </c>
      <c r="G10" s="12" t="s">
        <v>140</v>
      </c>
      <c r="H10" s="4" t="s">
        <v>162</v>
      </c>
      <c r="I10" s="4" t="s">
        <v>163</v>
      </c>
      <c r="J10" s="11">
        <v>10</v>
      </c>
      <c r="K10" s="12" t="s">
        <v>117</v>
      </c>
      <c r="L10" s="12" t="s">
        <v>35</v>
      </c>
    </row>
    <row r="11" spans="1:12">
      <c r="A11" s="4" t="s">
        <v>44</v>
      </c>
      <c r="B11" s="4" t="s">
        <v>164</v>
      </c>
      <c r="C11" s="4" t="s">
        <v>165</v>
      </c>
      <c r="D11" s="4" t="s">
        <v>166</v>
      </c>
      <c r="E11" s="4" t="s">
        <v>167</v>
      </c>
      <c r="F11" s="12" t="s">
        <v>168</v>
      </c>
      <c r="G11" s="12" t="s">
        <v>140</v>
      </c>
      <c r="H11" s="4" t="s">
        <v>169</v>
      </c>
      <c r="I11" s="4" t="s">
        <v>170</v>
      </c>
      <c r="J11" s="11">
        <v>9</v>
      </c>
      <c r="K11" s="12" t="s">
        <v>117</v>
      </c>
      <c r="L11" s="12" t="s">
        <v>135</v>
      </c>
    </row>
    <row r="12" spans="1:12">
      <c r="A12" s="4" t="s">
        <v>48</v>
      </c>
      <c r="B12" s="4" t="s">
        <v>171</v>
      </c>
      <c r="C12" s="4" t="s">
        <v>172</v>
      </c>
      <c r="D12" s="4" t="s">
        <v>173</v>
      </c>
      <c r="E12" s="4" t="s">
        <v>174</v>
      </c>
      <c r="F12" s="12" t="s">
        <v>175</v>
      </c>
      <c r="G12" s="12" t="s">
        <v>176</v>
      </c>
      <c r="H12" s="4" t="s">
        <v>177</v>
      </c>
      <c r="I12" s="4" t="s">
        <v>178</v>
      </c>
      <c r="J12" s="11">
        <v>9</v>
      </c>
      <c r="K12" s="12" t="s">
        <v>150</v>
      </c>
      <c r="L12" s="12" t="s">
        <v>35</v>
      </c>
    </row>
    <row r="13" spans="1:12">
      <c r="A13" s="4" t="s">
        <v>51</v>
      </c>
      <c r="B13" s="4" t="s">
        <v>179</v>
      </c>
      <c r="C13" s="4" t="s">
        <v>180</v>
      </c>
      <c r="D13" s="4" t="s">
        <v>181</v>
      </c>
      <c r="E13" s="4" t="s">
        <v>182</v>
      </c>
      <c r="F13" s="12" t="s">
        <v>183</v>
      </c>
      <c r="G13" s="12" t="s">
        <v>131</v>
      </c>
      <c r="H13" s="4" t="s">
        <v>184</v>
      </c>
      <c r="I13" s="4" t="s">
        <v>185</v>
      </c>
      <c r="J13" s="11">
        <v>10</v>
      </c>
      <c r="K13" s="12" t="s">
        <v>117</v>
      </c>
      <c r="L13" s="12" t="s">
        <v>35</v>
      </c>
    </row>
    <row r="14" spans="1:12">
      <c r="A14" s="4" t="s">
        <v>55</v>
      </c>
      <c r="B14" s="4" t="s">
        <v>186</v>
      </c>
      <c r="C14" s="4" t="s">
        <v>187</v>
      </c>
      <c r="D14" s="4" t="s">
        <v>188</v>
      </c>
      <c r="E14" s="4" t="s">
        <v>189</v>
      </c>
      <c r="F14" s="12" t="s">
        <v>131</v>
      </c>
      <c r="G14" s="12" t="s">
        <v>131</v>
      </c>
      <c r="H14" s="4" t="s">
        <v>190</v>
      </c>
      <c r="I14" s="4" t="s">
        <v>191</v>
      </c>
      <c r="J14" s="11">
        <v>9</v>
      </c>
      <c r="K14" s="12" t="s">
        <v>150</v>
      </c>
      <c r="L14" s="12" t="s">
        <v>135</v>
      </c>
    </row>
    <row r="15" spans="1:12">
      <c r="A15" s="4" t="s">
        <v>57</v>
      </c>
      <c r="B15" s="4" t="s">
        <v>192</v>
      </c>
      <c r="C15" s="4" t="s">
        <v>193</v>
      </c>
      <c r="D15" s="4" t="s">
        <v>194</v>
      </c>
      <c r="E15" s="4" t="s">
        <v>195</v>
      </c>
      <c r="F15" s="12" t="s">
        <v>196</v>
      </c>
      <c r="G15" s="12" t="s">
        <v>131</v>
      </c>
      <c r="H15" s="4" t="s">
        <v>197</v>
      </c>
      <c r="I15" s="4" t="s">
        <v>198</v>
      </c>
      <c r="J15" s="11">
        <v>8</v>
      </c>
      <c r="K15" s="12" t="s">
        <v>150</v>
      </c>
      <c r="L15" s="12" t="s">
        <v>118</v>
      </c>
    </row>
    <row r="16" spans="1:12">
      <c r="A16" s="4" t="s">
        <v>53</v>
      </c>
      <c r="B16" s="4" t="s">
        <v>199</v>
      </c>
      <c r="C16" s="4" t="s">
        <v>200</v>
      </c>
      <c r="D16" s="4" t="s">
        <v>201</v>
      </c>
      <c r="E16" s="4" t="s">
        <v>202</v>
      </c>
      <c r="F16" s="12" t="s">
        <v>131</v>
      </c>
      <c r="G16" s="12" t="s">
        <v>140</v>
      </c>
      <c r="H16" s="4" t="s">
        <v>203</v>
      </c>
      <c r="I16" s="4" t="s">
        <v>204</v>
      </c>
      <c r="J16" s="11">
        <v>9</v>
      </c>
      <c r="K16" s="12" t="s">
        <v>117</v>
      </c>
      <c r="L16" s="12" t="s">
        <v>118</v>
      </c>
    </row>
    <row r="17" spans="1:12">
      <c r="A17" s="4" t="s">
        <v>61</v>
      </c>
      <c r="B17" s="4" t="s">
        <v>205</v>
      </c>
      <c r="C17" s="4" t="s">
        <v>206</v>
      </c>
      <c r="D17" s="4" t="s">
        <v>207</v>
      </c>
      <c r="E17" s="4" t="s">
        <v>208</v>
      </c>
      <c r="F17" s="12" t="s">
        <v>131</v>
      </c>
      <c r="G17" s="12" t="s">
        <v>209</v>
      </c>
      <c r="H17" s="4" t="s">
        <v>210</v>
      </c>
      <c r="I17" s="4" t="s">
        <v>211</v>
      </c>
      <c r="J17" s="11">
        <v>10</v>
      </c>
      <c r="K17" s="12" t="s">
        <v>117</v>
      </c>
      <c r="L17" s="12" t="s">
        <v>35</v>
      </c>
    </row>
    <row r="18" spans="1:12">
      <c r="A18" s="4" t="s">
        <v>41</v>
      </c>
      <c r="B18" s="4" t="s">
        <v>212</v>
      </c>
      <c r="C18" s="4" t="s">
        <v>213</v>
      </c>
      <c r="D18" s="4" t="s">
        <v>214</v>
      </c>
      <c r="E18" s="4" t="s">
        <v>215</v>
      </c>
      <c r="F18" s="12" t="s">
        <v>216</v>
      </c>
      <c r="G18" s="12" t="s">
        <v>217</v>
      </c>
      <c r="H18" s="4" t="s">
        <v>218</v>
      </c>
      <c r="I18" s="4" t="s">
        <v>219</v>
      </c>
      <c r="J18" s="11">
        <v>9</v>
      </c>
      <c r="K18" s="12" t="s">
        <v>150</v>
      </c>
      <c r="L18" s="12" t="s">
        <v>35</v>
      </c>
    </row>
    <row r="19" spans="1:12">
      <c r="A19" s="4" t="s">
        <v>50</v>
      </c>
      <c r="B19" s="4" t="s">
        <v>220</v>
      </c>
      <c r="C19" s="4" t="s">
        <v>221</v>
      </c>
      <c r="D19" s="4" t="s">
        <v>222</v>
      </c>
      <c r="E19" s="4" t="s">
        <v>223</v>
      </c>
      <c r="F19" s="12" t="s">
        <v>224</v>
      </c>
      <c r="G19" s="12" t="s">
        <v>225</v>
      </c>
      <c r="H19" s="4" t="s">
        <v>226</v>
      </c>
      <c r="I19" s="4" t="s">
        <v>227</v>
      </c>
      <c r="J19" s="11">
        <v>10</v>
      </c>
      <c r="K19" s="12" t="s">
        <v>117</v>
      </c>
      <c r="L19" s="12" t="s">
        <v>135</v>
      </c>
    </row>
    <row r="20" spans="1:12">
      <c r="A20" s="4" t="s">
        <v>46</v>
      </c>
      <c r="B20" s="4" t="s">
        <v>228</v>
      </c>
      <c r="C20" s="4" t="s">
        <v>229</v>
      </c>
      <c r="D20" s="4" t="s">
        <v>230</v>
      </c>
      <c r="E20" s="4" t="s">
        <v>231</v>
      </c>
      <c r="F20" s="12" t="s">
        <v>232</v>
      </c>
      <c r="G20" s="12" t="s">
        <v>233</v>
      </c>
      <c r="H20" s="4" t="s">
        <v>234</v>
      </c>
      <c r="I20" s="4" t="s">
        <v>235</v>
      </c>
      <c r="J20" s="11">
        <v>10</v>
      </c>
      <c r="K20" s="12" t="s">
        <v>117</v>
      </c>
      <c r="L20" s="12" t="s">
        <v>35</v>
      </c>
    </row>
    <row r="21" spans="1:12">
      <c r="A21" s="4" t="s">
        <v>40</v>
      </c>
      <c r="B21" s="4" t="s">
        <v>236</v>
      </c>
      <c r="C21" s="4" t="s">
        <v>237</v>
      </c>
      <c r="D21" s="4" t="s">
        <v>238</v>
      </c>
      <c r="E21" s="4" t="s">
        <v>239</v>
      </c>
      <c r="F21" s="12" t="s">
        <v>232</v>
      </c>
      <c r="G21" s="12" t="s">
        <v>240</v>
      </c>
      <c r="H21" s="4" t="s">
        <v>241</v>
      </c>
      <c r="I21" s="4" t="s">
        <v>242</v>
      </c>
      <c r="J21" s="11">
        <v>10</v>
      </c>
      <c r="K21" s="12" t="s">
        <v>117</v>
      </c>
      <c r="L21" s="12" t="s">
        <v>35</v>
      </c>
    </row>
    <row r="22" spans="1:12">
      <c r="A22" s="4" t="s">
        <v>60</v>
      </c>
      <c r="B22" s="4" t="s">
        <v>243</v>
      </c>
      <c r="C22" s="4" t="s">
        <v>244</v>
      </c>
      <c r="D22" s="4" t="s">
        <v>245</v>
      </c>
      <c r="E22" s="4" t="s">
        <v>246</v>
      </c>
      <c r="F22" s="12" t="s">
        <v>232</v>
      </c>
      <c r="G22" s="12" t="s">
        <v>240</v>
      </c>
      <c r="H22" s="4" t="s">
        <v>247</v>
      </c>
      <c r="I22" s="4" t="s">
        <v>248</v>
      </c>
      <c r="J22" s="11">
        <v>9</v>
      </c>
      <c r="K22" s="12" t="s">
        <v>150</v>
      </c>
      <c r="L22" s="12" t="s">
        <v>135</v>
      </c>
    </row>
    <row r="23" spans="1:12">
      <c r="A23" s="4" t="s">
        <v>64</v>
      </c>
      <c r="B23" s="4" t="s">
        <v>249</v>
      </c>
      <c r="C23" s="4" t="s">
        <v>250</v>
      </c>
      <c r="D23" s="4" t="s">
        <v>251</v>
      </c>
      <c r="E23" s="4" t="s">
        <v>252</v>
      </c>
      <c r="F23" s="12" t="s">
        <v>253</v>
      </c>
      <c r="G23" s="12" t="s">
        <v>131</v>
      </c>
      <c r="H23" s="4" t="s">
        <v>254</v>
      </c>
      <c r="I23" s="4" t="s">
        <v>255</v>
      </c>
      <c r="J23" s="11">
        <v>9</v>
      </c>
      <c r="K23" s="12" t="s">
        <v>150</v>
      </c>
      <c r="L23" s="12" t="s">
        <v>135</v>
      </c>
    </row>
    <row r="24" spans="1:12">
      <c r="A24" s="4" t="s">
        <v>62</v>
      </c>
      <c r="B24" s="4" t="s">
        <v>256</v>
      </c>
      <c r="C24" s="4" t="s">
        <v>257</v>
      </c>
      <c r="D24" s="4" t="s">
        <v>258</v>
      </c>
      <c r="E24" s="4" t="s">
        <v>259</v>
      </c>
      <c r="F24" s="12" t="s">
        <v>260</v>
      </c>
      <c r="G24" s="12" t="s">
        <v>261</v>
      </c>
      <c r="H24" s="4" t="s">
        <v>262</v>
      </c>
      <c r="I24" s="4" t="s">
        <v>263</v>
      </c>
      <c r="J24" s="11">
        <v>8</v>
      </c>
      <c r="K24" s="12" t="s">
        <v>150</v>
      </c>
      <c r="L24" s="12" t="s">
        <v>135</v>
      </c>
    </row>
    <row r="25" spans="1:12">
      <c r="A25" s="4" t="s">
        <v>42</v>
      </c>
      <c r="B25" s="4" t="s">
        <v>264</v>
      </c>
      <c r="C25" s="4" t="s">
        <v>265</v>
      </c>
      <c r="D25" s="4" t="s">
        <v>266</v>
      </c>
      <c r="E25" s="4" t="s">
        <v>267</v>
      </c>
      <c r="F25" s="12" t="s">
        <v>268</v>
      </c>
      <c r="G25" s="12" t="s">
        <v>269</v>
      </c>
      <c r="H25" s="4" t="s">
        <v>270</v>
      </c>
      <c r="I25" s="4" t="s">
        <v>271</v>
      </c>
      <c r="J25" s="11">
        <v>9</v>
      </c>
      <c r="K25" s="12" t="s">
        <v>150</v>
      </c>
      <c r="L25" s="12" t="s">
        <v>135</v>
      </c>
    </row>
    <row r="26" spans="1:12">
      <c r="A26" s="4" t="s">
        <v>58</v>
      </c>
      <c r="B26" s="4" t="s">
        <v>272</v>
      </c>
      <c r="C26" s="4" t="s">
        <v>273</v>
      </c>
      <c r="D26" s="4" t="s">
        <v>274</v>
      </c>
      <c r="E26" s="4" t="s">
        <v>275</v>
      </c>
      <c r="F26" s="12" t="s">
        <v>276</v>
      </c>
      <c r="G26" s="12" t="s">
        <v>277</v>
      </c>
      <c r="H26" s="4" t="s">
        <v>278</v>
      </c>
      <c r="I26" s="4" t="s">
        <v>279</v>
      </c>
      <c r="J26" s="11">
        <v>8</v>
      </c>
      <c r="K26" s="12" t="s">
        <v>150</v>
      </c>
      <c r="L26" s="12" t="s">
        <v>118</v>
      </c>
    </row>
    <row r="27" spans="1:12">
      <c r="A27" s="4" t="s">
        <v>45</v>
      </c>
      <c r="B27" s="4" t="s">
        <v>280</v>
      </c>
      <c r="C27" s="4" t="s">
        <v>281</v>
      </c>
      <c r="D27" s="4" t="s">
        <v>282</v>
      </c>
      <c r="E27" s="4" t="s">
        <v>283</v>
      </c>
      <c r="F27" s="12" t="s">
        <v>140</v>
      </c>
      <c r="G27" s="12" t="s">
        <v>140</v>
      </c>
      <c r="H27" s="4" t="s">
        <v>284</v>
      </c>
      <c r="I27" s="4" t="s">
        <v>285</v>
      </c>
      <c r="J27" s="11">
        <v>8</v>
      </c>
      <c r="K27" s="12" t="s">
        <v>150</v>
      </c>
      <c r="L27" s="12" t="s">
        <v>118</v>
      </c>
    </row>
    <row r="28" spans="1:12">
      <c r="A28" s="4" t="s">
        <v>47</v>
      </c>
      <c r="B28" s="4" t="s">
        <v>286</v>
      </c>
      <c r="C28" s="4" t="s">
        <v>287</v>
      </c>
      <c r="D28" s="4" t="s">
        <v>288</v>
      </c>
      <c r="E28" s="4" t="s">
        <v>289</v>
      </c>
      <c r="F28" s="12" t="s">
        <v>290</v>
      </c>
      <c r="G28" s="12" t="s">
        <v>291</v>
      </c>
      <c r="H28" s="4" t="s">
        <v>292</v>
      </c>
      <c r="I28" s="4" t="s">
        <v>293</v>
      </c>
      <c r="J28" s="11">
        <v>10</v>
      </c>
      <c r="K28" s="12" t="s">
        <v>117</v>
      </c>
      <c r="L28" s="12" t="s">
        <v>135</v>
      </c>
    </row>
    <row r="29" spans="1:12">
      <c r="A29" s="4" t="s">
        <v>54</v>
      </c>
      <c r="B29" s="4" t="s">
        <v>294</v>
      </c>
      <c r="C29" s="4" t="s">
        <v>295</v>
      </c>
      <c r="D29" s="4" t="s">
        <v>296</v>
      </c>
      <c r="E29" s="4" t="s">
        <v>297</v>
      </c>
      <c r="F29" s="12" t="s">
        <v>298</v>
      </c>
      <c r="G29" s="12" t="s">
        <v>299</v>
      </c>
      <c r="H29" s="4" t="s">
        <v>300</v>
      </c>
      <c r="I29" s="4" t="s">
        <v>301</v>
      </c>
      <c r="J29" s="11">
        <v>9</v>
      </c>
      <c r="K29" s="12" t="s">
        <v>117</v>
      </c>
      <c r="L29" s="12" t="s">
        <v>35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AA308"/>
  <sheetViews>
    <sheetView showGridLines="0" workbookViewId="0"/>
  </sheetViews>
  <sheetFormatPr defaultRowHeight="15"/>
  <cols>
    <col min="1" max="1" width="6.7109375" customWidth="1"/>
    <col min="2" max="2" width="30.7109375" customWidth="1"/>
    <col min="3" max="3" width="15.7109375" customWidth="1"/>
    <col min="4" max="4" width="20.7109375" customWidth="1"/>
    <col min="5" max="5" width="12.7109375" customWidth="1"/>
    <col min="6" max="6" width="14.7109375" customWidth="1"/>
    <col min="7" max="7" width="8.7109375" customWidth="1"/>
    <col min="8" max="9" width="15.7109375" customWidth="1"/>
    <col min="10" max="13" width="35.7109375" customWidth="1"/>
    <col min="14" max="14" width="25.7109375" customWidth="1"/>
    <col min="15" max="18" width="10.7109375" customWidth="1"/>
    <col min="19" max="23" width="12.7109375" customWidth="1"/>
    <col min="24" max="26" width="14.7109375" customWidth="1"/>
    <col min="27" max="27" width="35.7109375" customWidth="1"/>
  </cols>
  <sheetData>
    <row r="1" spans="1:27">
      <c r="A1" t="s">
        <v>673</v>
      </c>
      <c r="B1" t="s">
        <v>674</v>
      </c>
      <c r="C1" t="s">
        <v>675</v>
      </c>
      <c r="D1" t="s">
        <v>676</v>
      </c>
      <c r="E1" t="s">
        <v>677</v>
      </c>
      <c r="F1" t="s">
        <v>678</v>
      </c>
      <c r="G1" t="s">
        <v>106</v>
      </c>
      <c r="H1" t="s">
        <v>107</v>
      </c>
      <c r="I1" t="s">
        <v>679</v>
      </c>
      <c r="J1" t="s">
        <v>98</v>
      </c>
      <c r="K1" t="s">
        <v>101</v>
      </c>
      <c r="L1" t="s">
        <v>102</v>
      </c>
      <c r="M1" t="s">
        <v>103</v>
      </c>
      <c r="N1" t="s">
        <v>680</v>
      </c>
      <c r="O1" t="s">
        <v>681</v>
      </c>
      <c r="P1" t="s">
        <v>682</v>
      </c>
      <c r="Q1" t="s">
        <v>683</v>
      </c>
      <c r="R1" t="s">
        <v>684</v>
      </c>
      <c r="S1" t="s">
        <v>685</v>
      </c>
      <c r="T1" t="s">
        <v>686</v>
      </c>
      <c r="U1" t="s">
        <v>687</v>
      </c>
      <c r="V1" t="s">
        <v>688</v>
      </c>
      <c r="W1" t="s">
        <v>5</v>
      </c>
      <c r="X1" t="s">
        <v>689</v>
      </c>
      <c r="Y1" t="s">
        <v>690</v>
      </c>
      <c r="Z1" t="s">
        <v>691</v>
      </c>
      <c r="AA1" t="s">
        <v>692</v>
      </c>
    </row>
    <row r="2" spans="1:27">
      <c r="A2" s="11">
        <v>1</v>
      </c>
      <c r="B2" s="4" t="s">
        <v>302</v>
      </c>
      <c r="C2" s="12" t="s">
        <v>39</v>
      </c>
      <c r="D2" s="12" t="s">
        <v>49</v>
      </c>
      <c r="E2" s="12" t="s">
        <v>34</v>
      </c>
      <c r="F2" s="11">
        <v>20</v>
      </c>
      <c r="G2" s="11">
        <v>10</v>
      </c>
      <c r="H2" s="12" t="s">
        <v>117</v>
      </c>
      <c r="I2" s="12" t="s">
        <v>117</v>
      </c>
      <c r="J2" s="4" t="s">
        <v>119</v>
      </c>
      <c r="K2" s="4" t="s">
        <v>122</v>
      </c>
      <c r="L2" s="12" t="s">
        <v>123</v>
      </c>
      <c r="M2" s="12" t="s">
        <v>124</v>
      </c>
      <c r="N2" s="4" t="s">
        <v>303</v>
      </c>
      <c r="O2" s="9" t="s">
        <v>304</v>
      </c>
      <c r="P2" s="9" t="s">
        <v>305</v>
      </c>
      <c r="Q2" s="9" t="s">
        <v>306</v>
      </c>
      <c r="R2" s="9" t="s">
        <v>307</v>
      </c>
      <c r="Y2" s="10">
        <f>IF(S2="", "", IF(W2="Green", S2+30, IF(W2="Yellow", S2+7, IF(W2="Red", S2+2, ""))))</f>
        <v>0</v>
      </c>
      <c r="Z2" s="11">
        <f>IF(Y2="", "", (Y2-TODAY()) * 50 - V2 * 10 - G2 * 5 + IF(W2="Red", -20, IF(W2="Yellow", -10, 0)) - IFERROR(INDEX(Analytics!$F$5:$F$20, MATCH(C2, Analytics!$A$5:$A$20, 0)) * 5, 0) + MOD(A2, 7))</f>
        <v>0</v>
      </c>
    </row>
    <row r="3" spans="1:27">
      <c r="A3" s="11">
        <v>2</v>
      </c>
      <c r="B3" s="4" t="s">
        <v>308</v>
      </c>
      <c r="C3" s="12" t="s">
        <v>39</v>
      </c>
      <c r="D3" s="12" t="s">
        <v>63</v>
      </c>
      <c r="E3" s="12" t="s">
        <v>34</v>
      </c>
      <c r="F3" s="11">
        <v>20</v>
      </c>
      <c r="G3" s="11">
        <v>10</v>
      </c>
      <c r="H3" s="12" t="s">
        <v>117</v>
      </c>
      <c r="I3" s="12" t="s">
        <v>117</v>
      </c>
      <c r="J3" s="4" t="s">
        <v>136</v>
      </c>
      <c r="K3" s="4" t="s">
        <v>139</v>
      </c>
      <c r="L3" s="12" t="s">
        <v>131</v>
      </c>
      <c r="M3" s="12" t="s">
        <v>140</v>
      </c>
      <c r="N3" s="4" t="s">
        <v>309</v>
      </c>
      <c r="O3" s="9" t="s">
        <v>304</v>
      </c>
      <c r="P3" s="9" t="s">
        <v>305</v>
      </c>
      <c r="Q3" s="9" t="s">
        <v>306</v>
      </c>
      <c r="R3" s="9" t="s">
        <v>307</v>
      </c>
      <c r="Y3" s="10">
        <f>IF(S3="", "", IF(W3="Green", S3+30, IF(W3="Yellow", S3+7, IF(W3="Red", S3+2, ""))))</f>
        <v>0</v>
      </c>
      <c r="Z3" s="11">
        <f>IF(Y3="", "", (Y3-TODAY()) * 50 - V3 * 10 - G3 * 5 + IF(W3="Red", -20, IF(W3="Yellow", -10, 0)) - IFERROR(INDEX(Analytics!$F$5:$F$20, MATCH(C3, Analytics!$A$5:$A$20, 0)) * 5, 0) + MOD(A3, 7))</f>
        <v>0</v>
      </c>
    </row>
    <row r="4" spans="1:27">
      <c r="A4" s="11">
        <v>3</v>
      </c>
      <c r="B4" s="4" t="s">
        <v>310</v>
      </c>
      <c r="C4" s="12" t="s">
        <v>39</v>
      </c>
      <c r="D4" s="12" t="s">
        <v>49</v>
      </c>
      <c r="E4" s="12" t="s">
        <v>34</v>
      </c>
      <c r="F4" s="11">
        <v>20</v>
      </c>
      <c r="G4" s="11">
        <v>9</v>
      </c>
      <c r="H4" s="12" t="s">
        <v>150</v>
      </c>
      <c r="I4" s="12" t="s">
        <v>117</v>
      </c>
      <c r="J4" s="4" t="s">
        <v>119</v>
      </c>
      <c r="K4" s="4" t="s">
        <v>122</v>
      </c>
      <c r="L4" s="12" t="s">
        <v>123</v>
      </c>
      <c r="M4" s="12" t="s">
        <v>124</v>
      </c>
      <c r="N4" s="4" t="s">
        <v>311</v>
      </c>
      <c r="O4" s="9" t="s">
        <v>304</v>
      </c>
      <c r="P4" s="9" t="s">
        <v>305</v>
      </c>
      <c r="Q4" s="9" t="s">
        <v>306</v>
      </c>
      <c r="R4" s="9" t="s">
        <v>307</v>
      </c>
      <c r="Y4" s="10">
        <f>IF(S4="", "", IF(W4="Green", S4+30, IF(W4="Yellow", S4+7, IF(W4="Red", S4+2, ""))))</f>
        <v>0</v>
      </c>
      <c r="Z4" s="11">
        <f>IF(Y4="", "", (Y4-TODAY()) * 50 - V4 * 10 - G4 * 5 + IF(W4="Red", -20, IF(W4="Yellow", -10, 0)) - IFERROR(INDEX(Analytics!$F$5:$F$20, MATCH(C4, Analytics!$A$5:$A$20, 0)) * 5, 0) + MOD(A4, 7))</f>
        <v>0</v>
      </c>
    </row>
    <row r="5" spans="1:27">
      <c r="A5" s="11">
        <v>4</v>
      </c>
      <c r="B5" s="4" t="s">
        <v>312</v>
      </c>
      <c r="C5" s="12" t="s">
        <v>39</v>
      </c>
      <c r="D5" s="12" t="s">
        <v>63</v>
      </c>
      <c r="E5" s="12" t="s">
        <v>34</v>
      </c>
      <c r="F5" s="11">
        <v>20</v>
      </c>
      <c r="G5" s="11">
        <v>8</v>
      </c>
      <c r="H5" s="12" t="s">
        <v>150</v>
      </c>
      <c r="I5" s="12" t="s">
        <v>150</v>
      </c>
      <c r="J5" s="4" t="s">
        <v>136</v>
      </c>
      <c r="K5" s="4" t="s">
        <v>139</v>
      </c>
      <c r="L5" s="12" t="s">
        <v>131</v>
      </c>
      <c r="M5" s="12" t="s">
        <v>140</v>
      </c>
      <c r="N5" s="4" t="s">
        <v>313</v>
      </c>
      <c r="O5" s="9" t="s">
        <v>304</v>
      </c>
      <c r="P5" s="9" t="s">
        <v>305</v>
      </c>
      <c r="Q5" s="9" t="s">
        <v>306</v>
      </c>
      <c r="R5" s="9" t="s">
        <v>307</v>
      </c>
      <c r="Y5" s="10">
        <f>IF(S5="", "", IF(W5="Green", S5+30, IF(W5="Yellow", S5+7, IF(W5="Red", S5+2, ""))))</f>
        <v>0</v>
      </c>
      <c r="Z5" s="11">
        <f>IF(Y5="", "", (Y5-TODAY()) * 50 - V5 * 10 - G5 * 5 + IF(W5="Red", -20, IF(W5="Yellow", -10, 0)) - IFERROR(INDEX(Analytics!$F$5:$F$20, MATCH(C5, Analytics!$A$5:$A$20, 0)) * 5, 0) + MOD(A5, 7))</f>
        <v>0</v>
      </c>
    </row>
    <row r="6" spans="1:27">
      <c r="A6" s="11">
        <v>5</v>
      </c>
      <c r="B6" s="4" t="s">
        <v>314</v>
      </c>
      <c r="C6" s="12" t="s">
        <v>39</v>
      </c>
      <c r="D6" s="12" t="s">
        <v>63</v>
      </c>
      <c r="E6" s="12" t="s">
        <v>34</v>
      </c>
      <c r="F6" s="11">
        <v>20</v>
      </c>
      <c r="G6" s="11">
        <v>9</v>
      </c>
      <c r="H6" s="12" t="s">
        <v>117</v>
      </c>
      <c r="I6" s="12" t="s">
        <v>117</v>
      </c>
      <c r="J6" s="4" t="s">
        <v>136</v>
      </c>
      <c r="K6" s="4" t="s">
        <v>139</v>
      </c>
      <c r="L6" s="12" t="s">
        <v>131</v>
      </c>
      <c r="M6" s="12" t="s">
        <v>140</v>
      </c>
      <c r="N6" s="4" t="s">
        <v>315</v>
      </c>
      <c r="O6" s="9" t="s">
        <v>304</v>
      </c>
      <c r="P6" s="9" t="s">
        <v>305</v>
      </c>
      <c r="Q6" s="9" t="s">
        <v>306</v>
      </c>
      <c r="R6" s="9" t="s">
        <v>307</v>
      </c>
      <c r="Y6" s="10">
        <f>IF(S6="", "", IF(W6="Green", S6+30, IF(W6="Yellow", S6+7, IF(W6="Red", S6+2, ""))))</f>
        <v>0</v>
      </c>
      <c r="Z6" s="11">
        <f>IF(Y6="", "", (Y6-TODAY()) * 50 - V6 * 10 - G6 * 5 + IF(W6="Red", -20, IF(W6="Yellow", -10, 0)) - IFERROR(INDEX(Analytics!$F$5:$F$20, MATCH(C6, Analytics!$A$5:$A$20, 0)) * 5, 0) + MOD(A6, 7))</f>
        <v>0</v>
      </c>
    </row>
    <row r="7" spans="1:27">
      <c r="A7" s="11">
        <v>6</v>
      </c>
      <c r="B7" s="4" t="s">
        <v>316</v>
      </c>
      <c r="C7" s="12" t="s">
        <v>39</v>
      </c>
      <c r="D7" s="12" t="s">
        <v>45</v>
      </c>
      <c r="E7" s="12" t="s">
        <v>34</v>
      </c>
      <c r="F7" s="11">
        <v>20</v>
      </c>
      <c r="G7" s="11">
        <v>8</v>
      </c>
      <c r="H7" s="12" t="s">
        <v>317</v>
      </c>
      <c r="I7" s="12" t="s">
        <v>150</v>
      </c>
      <c r="J7" s="4" t="s">
        <v>280</v>
      </c>
      <c r="K7" s="4" t="s">
        <v>283</v>
      </c>
      <c r="L7" s="12" t="s">
        <v>140</v>
      </c>
      <c r="M7" s="12" t="s">
        <v>140</v>
      </c>
      <c r="N7" s="4" t="s">
        <v>318</v>
      </c>
      <c r="O7" s="9" t="s">
        <v>304</v>
      </c>
      <c r="P7" s="9" t="s">
        <v>305</v>
      </c>
      <c r="Q7" s="9" t="s">
        <v>306</v>
      </c>
      <c r="R7" s="9" t="s">
        <v>307</v>
      </c>
      <c r="Y7" s="10">
        <f>IF(S7="", "", IF(W7="Green", S7+30, IF(W7="Yellow", S7+7, IF(W7="Red", S7+2, ""))))</f>
        <v>0</v>
      </c>
      <c r="Z7" s="11">
        <f>IF(Y7="", "", (Y7-TODAY()) * 50 - V7 * 10 - G7 * 5 + IF(W7="Red", -20, IF(W7="Yellow", -10, 0)) - IFERROR(INDEX(Analytics!$F$5:$F$20, MATCH(C7, Analytics!$A$5:$A$20, 0)) * 5, 0) + MOD(A7, 7))</f>
        <v>0</v>
      </c>
    </row>
    <row r="8" spans="1:27">
      <c r="A8" s="11">
        <v>7</v>
      </c>
      <c r="B8" s="4" t="s">
        <v>319</v>
      </c>
      <c r="C8" s="12" t="s">
        <v>39</v>
      </c>
      <c r="D8" s="12" t="s">
        <v>63</v>
      </c>
      <c r="E8" s="12" t="s">
        <v>35</v>
      </c>
      <c r="F8" s="11">
        <v>40</v>
      </c>
      <c r="G8" s="11">
        <v>10</v>
      </c>
      <c r="H8" s="12" t="s">
        <v>117</v>
      </c>
      <c r="I8" s="12" t="s">
        <v>117</v>
      </c>
      <c r="J8" s="4" t="s">
        <v>136</v>
      </c>
      <c r="K8" s="4" t="s">
        <v>139</v>
      </c>
      <c r="L8" s="12" t="s">
        <v>131</v>
      </c>
      <c r="M8" s="12" t="s">
        <v>140</v>
      </c>
      <c r="N8" s="4" t="s">
        <v>320</v>
      </c>
      <c r="O8" s="9" t="s">
        <v>304</v>
      </c>
      <c r="P8" s="9" t="s">
        <v>305</v>
      </c>
      <c r="Q8" s="9" t="s">
        <v>306</v>
      </c>
      <c r="R8" s="9" t="s">
        <v>307</v>
      </c>
      <c r="Y8" s="10">
        <f>IF(S8="", "", IF(W8="Green", S8+30, IF(W8="Yellow", S8+7, IF(W8="Red", S8+2, ""))))</f>
        <v>0</v>
      </c>
      <c r="Z8" s="11">
        <f>IF(Y8="", "", (Y8-TODAY()) * 50 - V8 * 10 - G8 * 5 + IF(W8="Red", -20, IF(W8="Yellow", -10, 0)) - IFERROR(INDEX(Analytics!$F$5:$F$20, MATCH(C8, Analytics!$A$5:$A$20, 0)) * 5, 0) + MOD(A8, 7))</f>
        <v>0</v>
      </c>
    </row>
    <row r="9" spans="1:27">
      <c r="A9" s="11">
        <v>8</v>
      </c>
      <c r="B9" s="4" t="s">
        <v>321</v>
      </c>
      <c r="C9" s="12" t="s">
        <v>39</v>
      </c>
      <c r="D9" s="12" t="s">
        <v>52</v>
      </c>
      <c r="E9" s="12" t="s">
        <v>35</v>
      </c>
      <c r="F9" s="11">
        <v>40</v>
      </c>
      <c r="G9" s="11">
        <v>10</v>
      </c>
      <c r="H9" s="12" t="s">
        <v>117</v>
      </c>
      <c r="I9" s="12" t="s">
        <v>117</v>
      </c>
      <c r="J9" s="4" t="s">
        <v>151</v>
      </c>
      <c r="K9" s="4" t="s">
        <v>154</v>
      </c>
      <c r="L9" s="12" t="s">
        <v>131</v>
      </c>
      <c r="M9" s="12" t="s">
        <v>140</v>
      </c>
      <c r="N9" s="4" t="s">
        <v>322</v>
      </c>
      <c r="O9" s="9" t="s">
        <v>304</v>
      </c>
      <c r="P9" s="9" t="s">
        <v>305</v>
      </c>
      <c r="Q9" s="9" t="s">
        <v>306</v>
      </c>
      <c r="R9" s="9" t="s">
        <v>307</v>
      </c>
      <c r="Y9" s="10">
        <f>IF(S9="", "", IF(W9="Green", S9+30, IF(W9="Yellow", S9+7, IF(W9="Red", S9+2, ""))))</f>
        <v>0</v>
      </c>
      <c r="Z9" s="11">
        <f>IF(Y9="", "", (Y9-TODAY()) * 50 - V9 * 10 - G9 * 5 + IF(W9="Red", -20, IF(W9="Yellow", -10, 0)) - IFERROR(INDEX(Analytics!$F$5:$F$20, MATCH(C9, Analytics!$A$5:$A$20, 0)) * 5, 0) + MOD(A9, 7))</f>
        <v>0</v>
      </c>
    </row>
    <row r="10" spans="1:27">
      <c r="A10" s="11">
        <v>9</v>
      </c>
      <c r="B10" s="4" t="s">
        <v>323</v>
      </c>
      <c r="C10" s="12" t="s">
        <v>39</v>
      </c>
      <c r="D10" s="12" t="s">
        <v>52</v>
      </c>
      <c r="E10" s="12" t="s">
        <v>35</v>
      </c>
      <c r="F10" s="11">
        <v>40</v>
      </c>
      <c r="G10" s="11">
        <v>9</v>
      </c>
      <c r="H10" s="12" t="s">
        <v>150</v>
      </c>
      <c r="I10" s="12" t="s">
        <v>117</v>
      </c>
      <c r="J10" s="4" t="s">
        <v>151</v>
      </c>
      <c r="K10" s="4" t="s">
        <v>154</v>
      </c>
      <c r="L10" s="12" t="s">
        <v>131</v>
      </c>
      <c r="M10" s="12" t="s">
        <v>140</v>
      </c>
      <c r="N10" s="4" t="s">
        <v>324</v>
      </c>
      <c r="O10" s="9" t="s">
        <v>304</v>
      </c>
      <c r="P10" s="9" t="s">
        <v>305</v>
      </c>
      <c r="Q10" s="9" t="s">
        <v>306</v>
      </c>
      <c r="R10" s="9" t="s">
        <v>307</v>
      </c>
      <c r="Y10" s="10">
        <f>IF(S10="", "", IF(W10="Green", S10+30, IF(W10="Yellow", S10+7, IF(W10="Red", S10+2, ""))))</f>
        <v>0</v>
      </c>
      <c r="Z10" s="11">
        <f>IF(Y10="", "", (Y10-TODAY()) * 50 - V10 * 10 - G10 * 5 + IF(W10="Red", -20, IF(W10="Yellow", -10, 0)) - IFERROR(INDEX(Analytics!$F$5:$F$20, MATCH(C10, Analytics!$A$5:$A$20, 0)) * 5, 0) + MOD(A10, 7))</f>
        <v>0</v>
      </c>
    </row>
    <row r="11" spans="1:27">
      <c r="A11" s="11">
        <v>10</v>
      </c>
      <c r="B11" s="4" t="s">
        <v>325</v>
      </c>
      <c r="C11" s="12" t="s">
        <v>39</v>
      </c>
      <c r="D11" s="12" t="s">
        <v>51</v>
      </c>
      <c r="E11" s="12" t="s">
        <v>35</v>
      </c>
      <c r="F11" s="11">
        <v>40</v>
      </c>
      <c r="G11" s="11">
        <v>10</v>
      </c>
      <c r="H11" s="12" t="s">
        <v>117</v>
      </c>
      <c r="I11" s="12" t="s">
        <v>117</v>
      </c>
      <c r="J11" s="4" t="s">
        <v>179</v>
      </c>
      <c r="K11" s="4" t="s">
        <v>182</v>
      </c>
      <c r="L11" s="12" t="s">
        <v>183</v>
      </c>
      <c r="M11" s="12" t="s">
        <v>131</v>
      </c>
      <c r="N11" s="4" t="s">
        <v>326</v>
      </c>
      <c r="O11" s="9" t="s">
        <v>304</v>
      </c>
      <c r="P11" s="9" t="s">
        <v>305</v>
      </c>
      <c r="Q11" s="9" t="s">
        <v>306</v>
      </c>
      <c r="R11" s="9" t="s">
        <v>307</v>
      </c>
      <c r="Y11" s="10">
        <f>IF(S11="", "", IF(W11="Green", S11+30, IF(W11="Yellow", S11+7, IF(W11="Red", S11+2, ""))))</f>
        <v>0</v>
      </c>
      <c r="Z11" s="11">
        <f>IF(Y11="", "", (Y11-TODAY()) * 50 - V11 * 10 - G11 * 5 + IF(W11="Red", -20, IF(W11="Yellow", -10, 0)) - IFERROR(INDEX(Analytics!$F$5:$F$20, MATCH(C11, Analytics!$A$5:$A$20, 0)) * 5, 0) + MOD(A11, 7))</f>
        <v>0</v>
      </c>
    </row>
    <row r="12" spans="1:27">
      <c r="A12" s="11">
        <v>11</v>
      </c>
      <c r="B12" s="4" t="s">
        <v>327</v>
      </c>
      <c r="C12" s="12" t="s">
        <v>39</v>
      </c>
      <c r="D12" s="12" t="s">
        <v>51</v>
      </c>
      <c r="E12" s="12" t="s">
        <v>35</v>
      </c>
      <c r="F12" s="11">
        <v>40</v>
      </c>
      <c r="G12" s="11">
        <v>9</v>
      </c>
      <c r="H12" s="12" t="s">
        <v>150</v>
      </c>
      <c r="I12" s="12" t="s">
        <v>117</v>
      </c>
      <c r="J12" s="4" t="s">
        <v>179</v>
      </c>
      <c r="K12" s="4" t="s">
        <v>182</v>
      </c>
      <c r="L12" s="12" t="s">
        <v>183</v>
      </c>
      <c r="M12" s="12" t="s">
        <v>131</v>
      </c>
      <c r="N12" s="4" t="s">
        <v>328</v>
      </c>
      <c r="O12" s="9" t="s">
        <v>304</v>
      </c>
      <c r="P12" s="9" t="s">
        <v>305</v>
      </c>
      <c r="Q12" s="9" t="s">
        <v>306</v>
      </c>
      <c r="R12" s="9" t="s">
        <v>307</v>
      </c>
      <c r="Y12" s="10">
        <f>IF(S12="", "", IF(W12="Green", S12+30, IF(W12="Yellow", S12+7, IF(W12="Red", S12+2, ""))))</f>
        <v>0</v>
      </c>
      <c r="Z12" s="11">
        <f>IF(Y12="", "", (Y12-TODAY()) * 50 - V12 * 10 - G12 * 5 + IF(W12="Red", -20, IF(W12="Yellow", -10, 0)) - IFERROR(INDEX(Analytics!$F$5:$F$20, MATCH(C12, Analytics!$A$5:$A$20, 0)) * 5, 0) + MOD(A12, 7))</f>
        <v>0</v>
      </c>
    </row>
    <row r="13" spans="1:27">
      <c r="A13" s="11">
        <v>12</v>
      </c>
      <c r="B13" s="4" t="s">
        <v>329</v>
      </c>
      <c r="C13" s="12" t="s">
        <v>39</v>
      </c>
      <c r="D13" s="12" t="s">
        <v>51</v>
      </c>
      <c r="E13" s="12" t="s">
        <v>35</v>
      </c>
      <c r="F13" s="11">
        <v>40</v>
      </c>
      <c r="G13" s="11">
        <v>8</v>
      </c>
      <c r="H13" s="12" t="s">
        <v>150</v>
      </c>
      <c r="I13" s="12" t="s">
        <v>150</v>
      </c>
      <c r="J13" s="4" t="s">
        <v>179</v>
      </c>
      <c r="K13" s="4" t="s">
        <v>182</v>
      </c>
      <c r="L13" s="12" t="s">
        <v>183</v>
      </c>
      <c r="M13" s="12" t="s">
        <v>131</v>
      </c>
      <c r="N13" s="4" t="s">
        <v>330</v>
      </c>
      <c r="O13" s="9" t="s">
        <v>304</v>
      </c>
      <c r="P13" s="9" t="s">
        <v>305</v>
      </c>
      <c r="Q13" s="9" t="s">
        <v>306</v>
      </c>
      <c r="R13" s="9" t="s">
        <v>307</v>
      </c>
      <c r="Y13" s="10">
        <f>IF(S13="", "", IF(W13="Green", S13+30, IF(W13="Yellow", S13+7, IF(W13="Red", S13+2, ""))))</f>
        <v>0</v>
      </c>
      <c r="Z13" s="11">
        <f>IF(Y13="", "", (Y13-TODAY()) * 50 - V13 * 10 - G13 * 5 + IF(W13="Red", -20, IF(W13="Yellow", -10, 0)) - IFERROR(INDEX(Analytics!$F$5:$F$20, MATCH(C13, Analytics!$A$5:$A$20, 0)) * 5, 0) + MOD(A13, 7))</f>
        <v>0</v>
      </c>
    </row>
    <row r="14" spans="1:27">
      <c r="A14" s="11">
        <v>13</v>
      </c>
      <c r="B14" s="4" t="s">
        <v>331</v>
      </c>
      <c r="C14" s="12" t="s">
        <v>39</v>
      </c>
      <c r="D14" s="12" t="s">
        <v>56</v>
      </c>
      <c r="E14" s="12" t="s">
        <v>35</v>
      </c>
      <c r="F14" s="11">
        <v>40</v>
      </c>
      <c r="G14" s="11">
        <v>9</v>
      </c>
      <c r="H14" s="12" t="s">
        <v>117</v>
      </c>
      <c r="I14" s="12" t="s">
        <v>117</v>
      </c>
      <c r="J14" s="4" t="s">
        <v>143</v>
      </c>
      <c r="K14" s="4" t="s">
        <v>146</v>
      </c>
      <c r="L14" s="12" t="s">
        <v>147</v>
      </c>
      <c r="M14" s="12" t="s">
        <v>131</v>
      </c>
      <c r="N14" s="4" t="s">
        <v>332</v>
      </c>
      <c r="O14" s="9" t="s">
        <v>304</v>
      </c>
      <c r="P14" s="9" t="s">
        <v>305</v>
      </c>
      <c r="Q14" s="9" t="s">
        <v>306</v>
      </c>
      <c r="R14" s="9" t="s">
        <v>307</v>
      </c>
      <c r="Y14" s="10">
        <f>IF(S14="", "", IF(W14="Green", S14+30, IF(W14="Yellow", S14+7, IF(W14="Red", S14+2, ""))))</f>
        <v>0</v>
      </c>
      <c r="Z14" s="11">
        <f>IF(Y14="", "", (Y14-TODAY()) * 50 - V14 * 10 - G14 * 5 + IF(W14="Red", -20, IF(W14="Yellow", -10, 0)) - IFERROR(INDEX(Analytics!$F$5:$F$20, MATCH(C14, Analytics!$A$5:$A$20, 0)) * 5, 0) + MOD(A14, 7))</f>
        <v>0</v>
      </c>
    </row>
    <row r="15" spans="1:27">
      <c r="A15" s="11">
        <v>14</v>
      </c>
      <c r="B15" s="4" t="s">
        <v>333</v>
      </c>
      <c r="C15" s="12" t="s">
        <v>39</v>
      </c>
      <c r="D15" s="12" t="s">
        <v>49</v>
      </c>
      <c r="E15" s="12" t="s">
        <v>35</v>
      </c>
      <c r="F15" s="11">
        <v>40</v>
      </c>
      <c r="G15" s="11">
        <v>8</v>
      </c>
      <c r="H15" s="12" t="s">
        <v>317</v>
      </c>
      <c r="I15" s="12" t="s">
        <v>150</v>
      </c>
      <c r="J15" s="4" t="s">
        <v>119</v>
      </c>
      <c r="K15" s="4" t="s">
        <v>122</v>
      </c>
      <c r="L15" s="12" t="s">
        <v>123</v>
      </c>
      <c r="M15" s="12" t="s">
        <v>124</v>
      </c>
      <c r="N15" s="4" t="s">
        <v>334</v>
      </c>
      <c r="O15" s="9" t="s">
        <v>304</v>
      </c>
      <c r="P15" s="9" t="s">
        <v>305</v>
      </c>
      <c r="Q15" s="9" t="s">
        <v>306</v>
      </c>
      <c r="R15" s="9" t="s">
        <v>307</v>
      </c>
      <c r="Y15" s="10">
        <f>IF(S15="", "", IF(W15="Green", S15+30, IF(W15="Yellow", S15+7, IF(W15="Red", S15+2, ""))))</f>
        <v>0</v>
      </c>
      <c r="Z15" s="11">
        <f>IF(Y15="", "", (Y15-TODAY()) * 50 - V15 * 10 - G15 * 5 + IF(W15="Red", -20, IF(W15="Yellow", -10, 0)) - IFERROR(INDEX(Analytics!$F$5:$F$20, MATCH(C15, Analytics!$A$5:$A$20, 0)) * 5, 0) + MOD(A15, 7))</f>
        <v>0</v>
      </c>
    </row>
    <row r="16" spans="1:27">
      <c r="A16" s="11">
        <v>15</v>
      </c>
      <c r="B16" s="4" t="s">
        <v>335</v>
      </c>
      <c r="C16" s="12" t="s">
        <v>39</v>
      </c>
      <c r="D16" s="12" t="s">
        <v>63</v>
      </c>
      <c r="E16" s="12" t="s">
        <v>35</v>
      </c>
      <c r="F16" s="11">
        <v>40</v>
      </c>
      <c r="G16" s="11">
        <v>10</v>
      </c>
      <c r="H16" s="12" t="s">
        <v>117</v>
      </c>
      <c r="I16" s="12" t="s">
        <v>117</v>
      </c>
      <c r="J16" s="4" t="s">
        <v>136</v>
      </c>
      <c r="K16" s="4" t="s">
        <v>139</v>
      </c>
      <c r="L16" s="12" t="s">
        <v>131</v>
      </c>
      <c r="M16" s="12" t="s">
        <v>140</v>
      </c>
      <c r="N16" s="4" t="s">
        <v>336</v>
      </c>
      <c r="O16" s="9" t="s">
        <v>304</v>
      </c>
      <c r="P16" s="9" t="s">
        <v>305</v>
      </c>
      <c r="Q16" s="9" t="s">
        <v>306</v>
      </c>
      <c r="R16" s="9" t="s">
        <v>307</v>
      </c>
      <c r="Y16" s="10">
        <f>IF(S16="", "", IF(W16="Green", S16+30, IF(W16="Yellow", S16+7, IF(W16="Red", S16+2, ""))))</f>
        <v>0</v>
      </c>
      <c r="Z16" s="11">
        <f>IF(Y16="", "", (Y16-TODAY()) * 50 - V16 * 10 - G16 * 5 + IF(W16="Red", -20, IF(W16="Yellow", -10, 0)) - IFERROR(INDEX(Analytics!$F$5:$F$20, MATCH(C16, Analytics!$A$5:$A$20, 0)) * 5, 0) + MOD(A16, 7))</f>
        <v>0</v>
      </c>
    </row>
    <row r="17" spans="1:26">
      <c r="A17" s="11">
        <v>16</v>
      </c>
      <c r="B17" s="4" t="s">
        <v>337</v>
      </c>
      <c r="C17" s="12" t="s">
        <v>39</v>
      </c>
      <c r="D17" s="12" t="s">
        <v>45</v>
      </c>
      <c r="E17" s="12" t="s">
        <v>35</v>
      </c>
      <c r="F17" s="11">
        <v>40</v>
      </c>
      <c r="G17" s="11">
        <v>9</v>
      </c>
      <c r="H17" s="12" t="s">
        <v>150</v>
      </c>
      <c r="I17" s="12" t="s">
        <v>117</v>
      </c>
      <c r="J17" s="4" t="s">
        <v>280</v>
      </c>
      <c r="K17" s="4" t="s">
        <v>283</v>
      </c>
      <c r="L17" s="12" t="s">
        <v>140</v>
      </c>
      <c r="M17" s="12" t="s">
        <v>140</v>
      </c>
      <c r="N17" s="4" t="s">
        <v>338</v>
      </c>
      <c r="O17" s="9" t="s">
        <v>304</v>
      </c>
      <c r="P17" s="9" t="s">
        <v>305</v>
      </c>
      <c r="Q17" s="9" t="s">
        <v>306</v>
      </c>
      <c r="R17" s="9" t="s">
        <v>307</v>
      </c>
      <c r="Y17" s="10">
        <f>IF(S17="", "", IF(W17="Green", S17+30, IF(W17="Yellow", S17+7, IF(W17="Red", S17+2, ""))))</f>
        <v>0</v>
      </c>
      <c r="Z17" s="11">
        <f>IF(Y17="", "", (Y17-TODAY()) * 50 - V17 * 10 - G17 * 5 + IF(W17="Red", -20, IF(W17="Yellow", -10, 0)) - IFERROR(INDEX(Analytics!$F$5:$F$20, MATCH(C17, Analytics!$A$5:$A$20, 0)) * 5, 0) + MOD(A17, 7))</f>
        <v>0</v>
      </c>
    </row>
    <row r="18" spans="1:26">
      <c r="A18" s="11">
        <v>17</v>
      </c>
      <c r="B18" s="4" t="s">
        <v>339</v>
      </c>
      <c r="C18" s="12" t="s">
        <v>39</v>
      </c>
      <c r="D18" s="12" t="s">
        <v>63</v>
      </c>
      <c r="E18" s="12" t="s">
        <v>35</v>
      </c>
      <c r="F18" s="11">
        <v>40</v>
      </c>
      <c r="G18" s="11">
        <v>9</v>
      </c>
      <c r="H18" s="12" t="s">
        <v>117</v>
      </c>
      <c r="I18" s="12" t="s">
        <v>117</v>
      </c>
      <c r="J18" s="4" t="s">
        <v>136</v>
      </c>
      <c r="K18" s="4" t="s">
        <v>139</v>
      </c>
      <c r="L18" s="12" t="s">
        <v>131</v>
      </c>
      <c r="M18" s="12" t="s">
        <v>140</v>
      </c>
      <c r="N18" s="4" t="s">
        <v>340</v>
      </c>
      <c r="O18" s="9" t="s">
        <v>304</v>
      </c>
      <c r="P18" s="9" t="s">
        <v>305</v>
      </c>
      <c r="Q18" s="9" t="s">
        <v>306</v>
      </c>
      <c r="R18" s="9" t="s">
        <v>307</v>
      </c>
      <c r="Y18" s="10">
        <f>IF(S18="", "", IF(W18="Green", S18+30, IF(W18="Yellow", S18+7, IF(W18="Red", S18+2, ""))))</f>
        <v>0</v>
      </c>
      <c r="Z18" s="11">
        <f>IF(Y18="", "", (Y18-TODAY()) * 50 - V18 * 10 - G18 * 5 + IF(W18="Red", -20, IF(W18="Yellow", -10, 0)) - IFERROR(INDEX(Analytics!$F$5:$F$20, MATCH(C18, Analytics!$A$5:$A$20, 0)) * 5, 0) + MOD(A18, 7))</f>
        <v>0</v>
      </c>
    </row>
    <row r="19" spans="1:26">
      <c r="A19" s="11">
        <v>18</v>
      </c>
      <c r="B19" s="4" t="s">
        <v>341</v>
      </c>
      <c r="C19" s="12" t="s">
        <v>39</v>
      </c>
      <c r="D19" s="12" t="s">
        <v>63</v>
      </c>
      <c r="E19" s="12" t="s">
        <v>35</v>
      </c>
      <c r="F19" s="11">
        <v>40</v>
      </c>
      <c r="G19" s="11">
        <v>10</v>
      </c>
      <c r="H19" s="12" t="s">
        <v>117</v>
      </c>
      <c r="I19" s="12" t="s">
        <v>117</v>
      </c>
      <c r="J19" s="4" t="s">
        <v>136</v>
      </c>
      <c r="K19" s="4" t="s">
        <v>139</v>
      </c>
      <c r="L19" s="12" t="s">
        <v>131</v>
      </c>
      <c r="M19" s="12" t="s">
        <v>140</v>
      </c>
      <c r="N19" s="4" t="s">
        <v>342</v>
      </c>
      <c r="O19" s="9" t="s">
        <v>304</v>
      </c>
      <c r="P19" s="9" t="s">
        <v>305</v>
      </c>
      <c r="Q19" s="9" t="s">
        <v>306</v>
      </c>
      <c r="R19" s="9" t="s">
        <v>307</v>
      </c>
      <c r="Y19" s="10">
        <f>IF(S19="", "", IF(W19="Green", S19+30, IF(W19="Yellow", S19+7, IF(W19="Red", S19+2, ""))))</f>
        <v>0</v>
      </c>
      <c r="Z19" s="11">
        <f>IF(Y19="", "", (Y19-TODAY()) * 50 - V19 * 10 - G19 * 5 + IF(W19="Red", -20, IF(W19="Yellow", -10, 0)) - IFERROR(INDEX(Analytics!$F$5:$F$20, MATCH(C19, Analytics!$A$5:$A$20, 0)) * 5, 0) + MOD(A19, 7))</f>
        <v>0</v>
      </c>
    </row>
    <row r="20" spans="1:26">
      <c r="A20" s="11">
        <v>19</v>
      </c>
      <c r="B20" s="4" t="s">
        <v>343</v>
      </c>
      <c r="C20" s="12" t="s">
        <v>39</v>
      </c>
      <c r="D20" s="12" t="s">
        <v>63</v>
      </c>
      <c r="E20" s="12" t="s">
        <v>35</v>
      </c>
      <c r="F20" s="11">
        <v>40</v>
      </c>
      <c r="G20" s="11">
        <v>10</v>
      </c>
      <c r="H20" s="12" t="s">
        <v>117</v>
      </c>
      <c r="I20" s="12" t="s">
        <v>117</v>
      </c>
      <c r="J20" s="4" t="s">
        <v>136</v>
      </c>
      <c r="K20" s="4" t="s">
        <v>139</v>
      </c>
      <c r="L20" s="12" t="s">
        <v>131</v>
      </c>
      <c r="M20" s="12" t="s">
        <v>140</v>
      </c>
      <c r="N20" s="4" t="s">
        <v>344</v>
      </c>
      <c r="O20" s="9" t="s">
        <v>304</v>
      </c>
      <c r="P20" s="9" t="s">
        <v>305</v>
      </c>
      <c r="Q20" s="9" t="s">
        <v>306</v>
      </c>
      <c r="R20" s="9" t="s">
        <v>307</v>
      </c>
      <c r="Y20" s="10">
        <f>IF(S20="", "", IF(W20="Green", S20+30, IF(W20="Yellow", S20+7, IF(W20="Red", S20+2, ""))))</f>
        <v>0</v>
      </c>
      <c r="Z20" s="11">
        <f>IF(Y20="", "", (Y20-TODAY()) * 50 - V20 * 10 - G20 * 5 + IF(W20="Red", -20, IF(W20="Yellow", -10, 0)) - IFERROR(INDEX(Analytics!$F$5:$F$20, MATCH(C20, Analytics!$A$5:$A$20, 0)) * 5, 0) + MOD(A20, 7))</f>
        <v>0</v>
      </c>
    </row>
    <row r="21" spans="1:26">
      <c r="A21" s="11">
        <v>20</v>
      </c>
      <c r="B21" s="4" t="s">
        <v>345</v>
      </c>
      <c r="C21" s="12" t="s">
        <v>39</v>
      </c>
      <c r="D21" s="12" t="s">
        <v>63</v>
      </c>
      <c r="E21" s="12" t="s">
        <v>35</v>
      </c>
      <c r="F21" s="11">
        <v>40</v>
      </c>
      <c r="G21" s="11">
        <v>9</v>
      </c>
      <c r="H21" s="12" t="s">
        <v>150</v>
      </c>
      <c r="I21" s="12" t="s">
        <v>117</v>
      </c>
      <c r="J21" s="4" t="s">
        <v>136</v>
      </c>
      <c r="K21" s="4" t="s">
        <v>139</v>
      </c>
      <c r="L21" s="12" t="s">
        <v>131</v>
      </c>
      <c r="M21" s="12" t="s">
        <v>140</v>
      </c>
      <c r="N21" s="4" t="s">
        <v>346</v>
      </c>
      <c r="O21" s="9" t="s">
        <v>304</v>
      </c>
      <c r="P21" s="9" t="s">
        <v>305</v>
      </c>
      <c r="Q21" s="9" t="s">
        <v>306</v>
      </c>
      <c r="R21" s="9" t="s">
        <v>307</v>
      </c>
      <c r="Y21" s="10">
        <f>IF(S21="", "", IF(W21="Green", S21+30, IF(W21="Yellow", S21+7, IF(W21="Red", S21+2, ""))))</f>
        <v>0</v>
      </c>
      <c r="Z21" s="11">
        <f>IF(Y21="", "", (Y21-TODAY()) * 50 - V21 * 10 - G21 * 5 + IF(W21="Red", -20, IF(W21="Yellow", -10, 0)) - IFERROR(INDEX(Analytics!$F$5:$F$20, MATCH(C21, Analytics!$A$5:$A$20, 0)) * 5, 0) + MOD(A21, 7))</f>
        <v>0</v>
      </c>
    </row>
    <row r="22" spans="1:26">
      <c r="A22" s="11">
        <v>21</v>
      </c>
      <c r="B22" s="4" t="s">
        <v>347</v>
      </c>
      <c r="C22" s="12" t="s">
        <v>39</v>
      </c>
      <c r="D22" s="12" t="s">
        <v>49</v>
      </c>
      <c r="E22" s="12" t="s">
        <v>35</v>
      </c>
      <c r="F22" s="11">
        <v>40</v>
      </c>
      <c r="G22" s="11">
        <v>9</v>
      </c>
      <c r="H22" s="12" t="s">
        <v>150</v>
      </c>
      <c r="I22" s="12" t="s">
        <v>117</v>
      </c>
      <c r="J22" s="4" t="s">
        <v>119</v>
      </c>
      <c r="K22" s="4" t="s">
        <v>122</v>
      </c>
      <c r="L22" s="12" t="s">
        <v>123</v>
      </c>
      <c r="M22" s="12" t="s">
        <v>124</v>
      </c>
      <c r="N22" s="4" t="s">
        <v>348</v>
      </c>
      <c r="O22" s="9" t="s">
        <v>304</v>
      </c>
      <c r="P22" s="9" t="s">
        <v>305</v>
      </c>
      <c r="Q22" s="9" t="s">
        <v>306</v>
      </c>
      <c r="R22" s="9" t="s">
        <v>307</v>
      </c>
      <c r="Y22" s="10">
        <f>IF(S22="", "", IF(W22="Green", S22+30, IF(W22="Yellow", S22+7, IF(W22="Red", S22+2, ""))))</f>
        <v>0</v>
      </c>
      <c r="Z22" s="11">
        <f>IF(Y22="", "", (Y22-TODAY()) * 50 - V22 * 10 - G22 * 5 + IF(W22="Red", -20, IF(W22="Yellow", -10, 0)) - IFERROR(INDEX(Analytics!$F$5:$F$20, MATCH(C22, Analytics!$A$5:$A$20, 0)) * 5, 0) + MOD(A22, 7))</f>
        <v>0</v>
      </c>
    </row>
    <row r="23" spans="1:26">
      <c r="A23" s="11">
        <v>22</v>
      </c>
      <c r="B23" s="4" t="s">
        <v>349</v>
      </c>
      <c r="C23" s="12" t="s">
        <v>39</v>
      </c>
      <c r="D23" s="12" t="s">
        <v>63</v>
      </c>
      <c r="E23" s="12" t="s">
        <v>35</v>
      </c>
      <c r="F23" s="11">
        <v>40</v>
      </c>
      <c r="G23" s="11">
        <v>8</v>
      </c>
      <c r="H23" s="12" t="s">
        <v>150</v>
      </c>
      <c r="I23" s="12" t="s">
        <v>150</v>
      </c>
      <c r="J23" s="4" t="s">
        <v>136</v>
      </c>
      <c r="K23" s="4" t="s">
        <v>139</v>
      </c>
      <c r="L23" s="12" t="s">
        <v>131</v>
      </c>
      <c r="M23" s="12" t="s">
        <v>140</v>
      </c>
      <c r="N23" s="4" t="s">
        <v>350</v>
      </c>
      <c r="O23" s="9" t="s">
        <v>304</v>
      </c>
      <c r="P23" s="9" t="s">
        <v>305</v>
      </c>
      <c r="Q23" s="9" t="s">
        <v>306</v>
      </c>
      <c r="R23" s="9" t="s">
        <v>307</v>
      </c>
      <c r="Y23" s="10">
        <f>IF(S23="", "", IF(W23="Green", S23+30, IF(W23="Yellow", S23+7, IF(W23="Red", S23+2, ""))))</f>
        <v>0</v>
      </c>
      <c r="Z23" s="11">
        <f>IF(Y23="", "", (Y23-TODAY()) * 50 - V23 * 10 - G23 * 5 + IF(W23="Red", -20, IF(W23="Yellow", -10, 0)) - IFERROR(INDEX(Analytics!$F$5:$F$20, MATCH(C23, Analytics!$A$5:$A$20, 0)) * 5, 0) + MOD(A23, 7))</f>
        <v>0</v>
      </c>
    </row>
    <row r="24" spans="1:26">
      <c r="A24" s="11">
        <v>23</v>
      </c>
      <c r="B24" s="4" t="s">
        <v>351</v>
      </c>
      <c r="C24" s="12" t="s">
        <v>39</v>
      </c>
      <c r="D24" s="12" t="s">
        <v>49</v>
      </c>
      <c r="E24" s="12" t="s">
        <v>35</v>
      </c>
      <c r="F24" s="11">
        <v>40</v>
      </c>
      <c r="G24" s="11">
        <v>10</v>
      </c>
      <c r="H24" s="12" t="s">
        <v>117</v>
      </c>
      <c r="I24" s="12" t="s">
        <v>117</v>
      </c>
      <c r="J24" s="4" t="s">
        <v>119</v>
      </c>
      <c r="K24" s="4" t="s">
        <v>122</v>
      </c>
      <c r="L24" s="12" t="s">
        <v>123</v>
      </c>
      <c r="M24" s="12" t="s">
        <v>124</v>
      </c>
      <c r="N24" s="4" t="s">
        <v>352</v>
      </c>
      <c r="O24" s="9" t="s">
        <v>304</v>
      </c>
      <c r="P24" s="9" t="s">
        <v>305</v>
      </c>
      <c r="Q24" s="9" t="s">
        <v>306</v>
      </c>
      <c r="R24" s="9" t="s">
        <v>307</v>
      </c>
      <c r="Y24" s="10">
        <f>IF(S24="", "", IF(W24="Green", S24+30, IF(W24="Yellow", S24+7, IF(W24="Red", S24+2, ""))))</f>
        <v>0</v>
      </c>
      <c r="Z24" s="11">
        <f>IF(Y24="", "", (Y24-TODAY()) * 50 - V24 * 10 - G24 * 5 + IF(W24="Red", -20, IF(W24="Yellow", -10, 0)) - IFERROR(INDEX(Analytics!$F$5:$F$20, MATCH(C24, Analytics!$A$5:$A$20, 0)) * 5, 0) + MOD(A24, 7))</f>
        <v>0</v>
      </c>
    </row>
    <row r="25" spans="1:26">
      <c r="A25" s="11">
        <v>24</v>
      </c>
      <c r="B25" s="4" t="s">
        <v>353</v>
      </c>
      <c r="C25" s="12" t="s">
        <v>39</v>
      </c>
      <c r="D25" s="12" t="s">
        <v>56</v>
      </c>
      <c r="E25" s="12" t="s">
        <v>35</v>
      </c>
      <c r="F25" s="11">
        <v>40</v>
      </c>
      <c r="G25" s="11">
        <v>10</v>
      </c>
      <c r="H25" s="12" t="s">
        <v>117</v>
      </c>
      <c r="I25" s="12" t="s">
        <v>117</v>
      </c>
      <c r="J25" s="4" t="s">
        <v>143</v>
      </c>
      <c r="K25" s="4" t="s">
        <v>146</v>
      </c>
      <c r="L25" s="12" t="s">
        <v>147</v>
      </c>
      <c r="M25" s="12" t="s">
        <v>131</v>
      </c>
      <c r="N25" s="4" t="s">
        <v>324</v>
      </c>
      <c r="O25" s="9" t="s">
        <v>304</v>
      </c>
      <c r="P25" s="9" t="s">
        <v>305</v>
      </c>
      <c r="Q25" s="9" t="s">
        <v>306</v>
      </c>
      <c r="R25" s="9" t="s">
        <v>307</v>
      </c>
      <c r="Y25" s="10">
        <f>IF(S25="", "", IF(W25="Green", S25+30, IF(W25="Yellow", S25+7, IF(W25="Red", S25+2, ""))))</f>
        <v>0</v>
      </c>
      <c r="Z25" s="11">
        <f>IF(Y25="", "", (Y25-TODAY()) * 50 - V25 * 10 - G25 * 5 + IF(W25="Red", -20, IF(W25="Yellow", -10, 0)) - IFERROR(INDEX(Analytics!$F$5:$F$20, MATCH(C25, Analytics!$A$5:$A$20, 0)) * 5, 0) + MOD(A25, 7))</f>
        <v>0</v>
      </c>
    </row>
    <row r="26" spans="1:26">
      <c r="A26" s="11">
        <v>25</v>
      </c>
      <c r="B26" s="4" t="s">
        <v>149</v>
      </c>
      <c r="C26" s="12" t="s">
        <v>39</v>
      </c>
      <c r="D26" s="12" t="s">
        <v>56</v>
      </c>
      <c r="E26" s="12" t="s">
        <v>35</v>
      </c>
      <c r="F26" s="11">
        <v>40</v>
      </c>
      <c r="G26" s="11">
        <v>8</v>
      </c>
      <c r="H26" s="12" t="s">
        <v>317</v>
      </c>
      <c r="I26" s="12" t="s">
        <v>150</v>
      </c>
      <c r="J26" s="4" t="s">
        <v>143</v>
      </c>
      <c r="K26" s="4" t="s">
        <v>146</v>
      </c>
      <c r="L26" s="12" t="s">
        <v>147</v>
      </c>
      <c r="M26" s="12" t="s">
        <v>131</v>
      </c>
      <c r="N26" s="4" t="s">
        <v>354</v>
      </c>
      <c r="O26" s="9" t="s">
        <v>304</v>
      </c>
      <c r="P26" s="9" t="s">
        <v>305</v>
      </c>
      <c r="Q26" s="9" t="s">
        <v>306</v>
      </c>
      <c r="R26" s="9" t="s">
        <v>307</v>
      </c>
      <c r="Y26" s="10">
        <f>IF(S26="", "", IF(W26="Green", S26+30, IF(W26="Yellow", S26+7, IF(W26="Red", S26+2, ""))))</f>
        <v>0</v>
      </c>
      <c r="Z26" s="11">
        <f>IF(Y26="", "", (Y26-TODAY()) * 50 - V26 * 10 - G26 * 5 + IF(W26="Red", -20, IF(W26="Yellow", -10, 0)) - IFERROR(INDEX(Analytics!$F$5:$F$20, MATCH(C26, Analytics!$A$5:$A$20, 0)) * 5, 0) + MOD(A26, 7))</f>
        <v>0</v>
      </c>
    </row>
    <row r="27" spans="1:26">
      <c r="A27" s="11">
        <v>26</v>
      </c>
      <c r="B27" s="4" t="s">
        <v>355</v>
      </c>
      <c r="C27" s="12" t="s">
        <v>39</v>
      </c>
      <c r="D27" s="12" t="s">
        <v>49</v>
      </c>
      <c r="E27" s="12" t="s">
        <v>36</v>
      </c>
      <c r="F27" s="11">
        <v>60</v>
      </c>
      <c r="G27" s="11">
        <v>9</v>
      </c>
      <c r="H27" s="12" t="s">
        <v>150</v>
      </c>
      <c r="I27" s="12" t="s">
        <v>117</v>
      </c>
      <c r="J27" s="4" t="s">
        <v>119</v>
      </c>
      <c r="K27" s="4" t="s">
        <v>122</v>
      </c>
      <c r="L27" s="12" t="s">
        <v>123</v>
      </c>
      <c r="M27" s="12" t="s">
        <v>124</v>
      </c>
      <c r="N27" s="4" t="s">
        <v>336</v>
      </c>
      <c r="O27" s="9" t="s">
        <v>304</v>
      </c>
      <c r="P27" s="9" t="s">
        <v>305</v>
      </c>
      <c r="Q27" s="9" t="s">
        <v>306</v>
      </c>
      <c r="R27" s="9" t="s">
        <v>307</v>
      </c>
      <c r="Y27" s="10">
        <f>IF(S27="", "", IF(W27="Green", S27+30, IF(W27="Yellow", S27+7, IF(W27="Red", S27+2, ""))))</f>
        <v>0</v>
      </c>
      <c r="Z27" s="11">
        <f>IF(Y27="", "", (Y27-TODAY()) * 50 - V27 * 10 - G27 * 5 + IF(W27="Red", -20, IF(W27="Yellow", -10, 0)) - IFERROR(INDEX(Analytics!$F$5:$F$20, MATCH(C27, Analytics!$A$5:$A$20, 0)) * 5, 0) + MOD(A27, 7))</f>
        <v>0</v>
      </c>
    </row>
    <row r="28" spans="1:26">
      <c r="A28" s="11">
        <v>27</v>
      </c>
      <c r="B28" s="4" t="s">
        <v>163</v>
      </c>
      <c r="C28" s="12" t="s">
        <v>39</v>
      </c>
      <c r="D28" s="12" t="s">
        <v>43</v>
      </c>
      <c r="E28" s="12" t="s">
        <v>36</v>
      </c>
      <c r="F28" s="11">
        <v>60</v>
      </c>
      <c r="G28" s="11">
        <v>9</v>
      </c>
      <c r="H28" s="12" t="s">
        <v>150</v>
      </c>
      <c r="I28" s="12" t="s">
        <v>117</v>
      </c>
      <c r="J28" s="4" t="s">
        <v>157</v>
      </c>
      <c r="K28" s="4" t="s">
        <v>160</v>
      </c>
      <c r="L28" s="12" t="s">
        <v>161</v>
      </c>
      <c r="M28" s="12" t="s">
        <v>140</v>
      </c>
      <c r="N28" s="4" t="s">
        <v>336</v>
      </c>
      <c r="O28" s="9" t="s">
        <v>304</v>
      </c>
      <c r="P28" s="9" t="s">
        <v>305</v>
      </c>
      <c r="Q28" s="9" t="s">
        <v>306</v>
      </c>
      <c r="R28" s="9" t="s">
        <v>307</v>
      </c>
      <c r="Y28" s="10">
        <f>IF(S28="", "", IF(W28="Green", S28+30, IF(W28="Yellow", S28+7, IF(W28="Red", S28+2, ""))))</f>
        <v>0</v>
      </c>
      <c r="Z28" s="11">
        <f>IF(Y28="", "", (Y28-TODAY()) * 50 - V28 * 10 - G28 * 5 + IF(W28="Red", -20, IF(W28="Yellow", -10, 0)) - IFERROR(INDEX(Analytics!$F$5:$F$20, MATCH(C28, Analytics!$A$5:$A$20, 0)) * 5, 0) + MOD(A28, 7))</f>
        <v>0</v>
      </c>
    </row>
    <row r="29" spans="1:26">
      <c r="A29" s="11">
        <v>28</v>
      </c>
      <c r="B29" s="4" t="s">
        <v>356</v>
      </c>
      <c r="C29" s="12" t="s">
        <v>39</v>
      </c>
      <c r="D29" s="12" t="s">
        <v>63</v>
      </c>
      <c r="E29" s="12" t="s">
        <v>36</v>
      </c>
      <c r="F29" s="11">
        <v>60</v>
      </c>
      <c r="G29" s="11">
        <v>10</v>
      </c>
      <c r="H29" s="12" t="s">
        <v>117</v>
      </c>
      <c r="I29" s="12" t="s">
        <v>117</v>
      </c>
      <c r="J29" s="4" t="s">
        <v>136</v>
      </c>
      <c r="K29" s="4" t="s">
        <v>139</v>
      </c>
      <c r="L29" s="12" t="s">
        <v>131</v>
      </c>
      <c r="M29" s="12" t="s">
        <v>140</v>
      </c>
      <c r="N29" s="4" t="s">
        <v>357</v>
      </c>
      <c r="O29" s="9" t="s">
        <v>304</v>
      </c>
      <c r="P29" s="9" t="s">
        <v>305</v>
      </c>
      <c r="Q29" s="9" t="s">
        <v>306</v>
      </c>
      <c r="R29" s="9" t="s">
        <v>307</v>
      </c>
      <c r="Y29" s="10">
        <f>IF(S29="", "", IF(W29="Green", S29+30, IF(W29="Yellow", S29+7, IF(W29="Red", S29+2, ""))))</f>
        <v>0</v>
      </c>
      <c r="Z29" s="11">
        <f>IF(Y29="", "", (Y29-TODAY()) * 50 - V29 * 10 - G29 * 5 + IF(W29="Red", -20, IF(W29="Yellow", -10, 0)) - IFERROR(INDEX(Analytics!$F$5:$F$20, MATCH(C29, Analytics!$A$5:$A$20, 0)) * 5, 0) + MOD(A29, 7))</f>
        <v>0</v>
      </c>
    </row>
    <row r="30" spans="1:26">
      <c r="A30" s="11">
        <v>29</v>
      </c>
      <c r="B30" s="4" t="s">
        <v>358</v>
      </c>
      <c r="C30" s="12" t="s">
        <v>39</v>
      </c>
      <c r="D30" s="12" t="s">
        <v>48</v>
      </c>
      <c r="E30" s="12" t="s">
        <v>35</v>
      </c>
      <c r="F30" s="11">
        <v>40</v>
      </c>
      <c r="G30" s="11">
        <v>7</v>
      </c>
      <c r="H30" s="12" t="s">
        <v>317</v>
      </c>
      <c r="I30" s="12" t="s">
        <v>150</v>
      </c>
      <c r="J30" s="4" t="s">
        <v>171</v>
      </c>
      <c r="K30" s="4" t="s">
        <v>174</v>
      </c>
      <c r="L30" s="12" t="s">
        <v>175</v>
      </c>
      <c r="M30" s="12" t="s">
        <v>176</v>
      </c>
      <c r="N30" s="4" t="s">
        <v>313</v>
      </c>
      <c r="O30" s="9" t="s">
        <v>304</v>
      </c>
      <c r="P30" s="9" t="s">
        <v>305</v>
      </c>
      <c r="Q30" s="9" t="s">
        <v>306</v>
      </c>
      <c r="R30" s="9" t="s">
        <v>307</v>
      </c>
      <c r="Y30" s="10">
        <f>IF(S30="", "", IF(W30="Green", S30+30, IF(W30="Yellow", S30+7, IF(W30="Red", S30+2, ""))))</f>
        <v>0</v>
      </c>
      <c r="Z30" s="11">
        <f>IF(Y30="", "", (Y30-TODAY()) * 50 - V30 * 10 - G30 * 5 + IF(W30="Red", -20, IF(W30="Yellow", -10, 0)) - IFERROR(INDEX(Analytics!$F$5:$F$20, MATCH(C30, Analytics!$A$5:$A$20, 0)) * 5, 0) + MOD(A30, 7))</f>
        <v>0</v>
      </c>
    </row>
    <row r="31" spans="1:26">
      <c r="A31" s="11">
        <v>30</v>
      </c>
      <c r="B31" s="4" t="s">
        <v>359</v>
      </c>
      <c r="C31" s="12" t="s">
        <v>39</v>
      </c>
      <c r="D31" s="12" t="s">
        <v>63</v>
      </c>
      <c r="E31" s="12" t="s">
        <v>35</v>
      </c>
      <c r="F31" s="11">
        <v>40</v>
      </c>
      <c r="G31" s="11">
        <v>9</v>
      </c>
      <c r="H31" s="12" t="s">
        <v>117</v>
      </c>
      <c r="I31" s="12" t="s">
        <v>117</v>
      </c>
      <c r="J31" s="4" t="s">
        <v>136</v>
      </c>
      <c r="K31" s="4" t="s">
        <v>139</v>
      </c>
      <c r="L31" s="12" t="s">
        <v>131</v>
      </c>
      <c r="M31" s="12" t="s">
        <v>140</v>
      </c>
      <c r="N31" s="4" t="s">
        <v>334</v>
      </c>
      <c r="O31" s="9" t="s">
        <v>304</v>
      </c>
      <c r="P31" s="9" t="s">
        <v>305</v>
      </c>
      <c r="Q31" s="9" t="s">
        <v>306</v>
      </c>
      <c r="R31" s="9" t="s">
        <v>307</v>
      </c>
      <c r="Y31" s="10">
        <f>IF(S31="", "", IF(W31="Green", S31+30, IF(W31="Yellow", S31+7, IF(W31="Red", S31+2, ""))))</f>
        <v>0</v>
      </c>
      <c r="Z31" s="11">
        <f>IF(Y31="", "", (Y31-TODAY()) * 50 - V31 * 10 - G31 * 5 + IF(W31="Red", -20, IF(W31="Yellow", -10, 0)) - IFERROR(INDEX(Analytics!$F$5:$F$20, MATCH(C31, Analytics!$A$5:$A$20, 0)) * 5, 0) + MOD(A31, 7))</f>
        <v>0</v>
      </c>
    </row>
    <row r="32" spans="1:26">
      <c r="A32" s="11">
        <v>31</v>
      </c>
      <c r="B32" s="4" t="s">
        <v>360</v>
      </c>
      <c r="C32" s="12" t="s">
        <v>39</v>
      </c>
      <c r="D32" s="12" t="s">
        <v>45</v>
      </c>
      <c r="E32" s="12" t="s">
        <v>35</v>
      </c>
      <c r="F32" s="11">
        <v>40</v>
      </c>
      <c r="G32" s="11">
        <v>9</v>
      </c>
      <c r="H32" s="12" t="s">
        <v>150</v>
      </c>
      <c r="I32" s="12" t="s">
        <v>117</v>
      </c>
      <c r="J32" s="4" t="s">
        <v>280</v>
      </c>
      <c r="K32" s="4" t="s">
        <v>283</v>
      </c>
      <c r="L32" s="12" t="s">
        <v>140</v>
      </c>
      <c r="M32" s="12" t="s">
        <v>140</v>
      </c>
      <c r="N32" s="4" t="s">
        <v>324</v>
      </c>
      <c r="O32" s="9" t="s">
        <v>304</v>
      </c>
      <c r="P32" s="9" t="s">
        <v>305</v>
      </c>
      <c r="Q32" s="9" t="s">
        <v>306</v>
      </c>
      <c r="R32" s="9" t="s">
        <v>307</v>
      </c>
      <c r="Y32" s="10">
        <f>IF(S32="", "", IF(W32="Green", S32+30, IF(W32="Yellow", S32+7, IF(W32="Red", S32+2, ""))))</f>
        <v>0</v>
      </c>
      <c r="Z32" s="11">
        <f>IF(Y32="", "", (Y32-TODAY()) * 50 - V32 * 10 - G32 * 5 + IF(W32="Red", -20, IF(W32="Yellow", -10, 0)) - IFERROR(INDEX(Analytics!$F$5:$F$20, MATCH(C32, Analytics!$A$5:$A$20, 0)) * 5, 0) + MOD(A32, 7))</f>
        <v>0</v>
      </c>
    </row>
    <row r="33" spans="1:26">
      <c r="A33" s="11">
        <v>32</v>
      </c>
      <c r="B33" s="4" t="s">
        <v>361</v>
      </c>
      <c r="C33" s="12" t="s">
        <v>39</v>
      </c>
      <c r="D33" s="12" t="s">
        <v>45</v>
      </c>
      <c r="E33" s="12" t="s">
        <v>35</v>
      </c>
      <c r="F33" s="11">
        <v>40</v>
      </c>
      <c r="G33" s="11">
        <v>8</v>
      </c>
      <c r="H33" s="12" t="s">
        <v>150</v>
      </c>
      <c r="I33" s="12" t="s">
        <v>150</v>
      </c>
      <c r="J33" s="4" t="s">
        <v>280</v>
      </c>
      <c r="K33" s="4" t="s">
        <v>283</v>
      </c>
      <c r="L33" s="12" t="s">
        <v>140</v>
      </c>
      <c r="M33" s="12" t="s">
        <v>140</v>
      </c>
      <c r="N33" s="4" t="s">
        <v>362</v>
      </c>
      <c r="O33" s="9" t="s">
        <v>304</v>
      </c>
      <c r="P33" s="9" t="s">
        <v>305</v>
      </c>
      <c r="Q33" s="9" t="s">
        <v>306</v>
      </c>
      <c r="R33" s="9" t="s">
        <v>307</v>
      </c>
      <c r="Y33" s="10">
        <f>IF(S33="", "", IF(W33="Green", S33+30, IF(W33="Yellow", S33+7, IF(W33="Red", S33+2, ""))))</f>
        <v>0</v>
      </c>
      <c r="Z33" s="11">
        <f>IF(Y33="", "", (Y33-TODAY()) * 50 - V33 * 10 - G33 * 5 + IF(W33="Red", -20, IF(W33="Yellow", -10, 0)) - IFERROR(INDEX(Analytics!$F$5:$F$20, MATCH(C33, Analytics!$A$5:$A$20, 0)) * 5, 0) + MOD(A33, 7))</f>
        <v>0</v>
      </c>
    </row>
    <row r="34" spans="1:26">
      <c r="A34" s="11">
        <v>33</v>
      </c>
      <c r="B34" s="4" t="s">
        <v>363</v>
      </c>
      <c r="C34" s="12" t="s">
        <v>39</v>
      </c>
      <c r="D34" s="12" t="s">
        <v>45</v>
      </c>
      <c r="E34" s="12" t="s">
        <v>36</v>
      </c>
      <c r="F34" s="11">
        <v>60</v>
      </c>
      <c r="G34" s="11">
        <v>8</v>
      </c>
      <c r="H34" s="12" t="s">
        <v>317</v>
      </c>
      <c r="I34" s="12" t="s">
        <v>150</v>
      </c>
      <c r="J34" s="4" t="s">
        <v>280</v>
      </c>
      <c r="K34" s="4" t="s">
        <v>283</v>
      </c>
      <c r="L34" s="12" t="s">
        <v>140</v>
      </c>
      <c r="M34" s="12" t="s">
        <v>140</v>
      </c>
      <c r="N34" s="4" t="s">
        <v>336</v>
      </c>
      <c r="O34" s="9" t="s">
        <v>304</v>
      </c>
      <c r="P34" s="9" t="s">
        <v>305</v>
      </c>
      <c r="Q34" s="9" t="s">
        <v>306</v>
      </c>
      <c r="R34" s="9" t="s">
        <v>307</v>
      </c>
      <c r="Y34" s="10">
        <f>IF(S34="", "", IF(W34="Green", S34+30, IF(W34="Yellow", S34+7, IF(W34="Red", S34+2, ""))))</f>
        <v>0</v>
      </c>
      <c r="Z34" s="11">
        <f>IF(Y34="", "", (Y34-TODAY()) * 50 - V34 * 10 - G34 * 5 + IF(W34="Red", -20, IF(W34="Yellow", -10, 0)) - IFERROR(INDEX(Analytics!$F$5:$F$20, MATCH(C34, Analytics!$A$5:$A$20, 0)) * 5, 0) + MOD(A34, 7))</f>
        <v>0</v>
      </c>
    </row>
    <row r="35" spans="1:26">
      <c r="A35" s="11">
        <v>34</v>
      </c>
      <c r="B35" s="4" t="s">
        <v>364</v>
      </c>
      <c r="C35" s="12" t="s">
        <v>39</v>
      </c>
      <c r="D35" s="12" t="s">
        <v>63</v>
      </c>
      <c r="E35" s="12" t="s">
        <v>34</v>
      </c>
      <c r="F35" s="11">
        <v>20</v>
      </c>
      <c r="G35" s="11">
        <v>8</v>
      </c>
      <c r="H35" s="12" t="s">
        <v>150</v>
      </c>
      <c r="I35" s="12" t="s">
        <v>150</v>
      </c>
      <c r="J35" s="4" t="s">
        <v>136</v>
      </c>
      <c r="K35" s="4" t="s">
        <v>139</v>
      </c>
      <c r="L35" s="12" t="s">
        <v>131</v>
      </c>
      <c r="M35" s="12" t="s">
        <v>140</v>
      </c>
      <c r="N35" s="4" t="s">
        <v>365</v>
      </c>
      <c r="O35" s="9" t="s">
        <v>304</v>
      </c>
      <c r="P35" s="9" t="s">
        <v>305</v>
      </c>
      <c r="Q35" s="9" t="s">
        <v>306</v>
      </c>
      <c r="R35" s="9" t="s">
        <v>307</v>
      </c>
      <c r="Y35" s="10">
        <f>IF(S35="", "", IF(W35="Green", S35+30, IF(W35="Yellow", S35+7, IF(W35="Red", S35+2, ""))))</f>
        <v>0</v>
      </c>
      <c r="Z35" s="11">
        <f>IF(Y35="", "", (Y35-TODAY()) * 50 - V35 * 10 - G35 * 5 + IF(W35="Red", -20, IF(W35="Yellow", -10, 0)) - IFERROR(INDEX(Analytics!$F$5:$F$20, MATCH(C35, Analytics!$A$5:$A$20, 0)) * 5, 0) + MOD(A35, 7))</f>
        <v>0</v>
      </c>
    </row>
    <row r="36" spans="1:26">
      <c r="A36" s="11">
        <v>35</v>
      </c>
      <c r="B36" s="4" t="s">
        <v>366</v>
      </c>
      <c r="C36" s="12" t="s">
        <v>39</v>
      </c>
      <c r="D36" s="12" t="s">
        <v>63</v>
      </c>
      <c r="E36" s="12" t="s">
        <v>34</v>
      </c>
      <c r="F36" s="11">
        <v>20</v>
      </c>
      <c r="G36" s="11">
        <v>8</v>
      </c>
      <c r="H36" s="12" t="s">
        <v>150</v>
      </c>
      <c r="I36" s="12" t="s">
        <v>150</v>
      </c>
      <c r="J36" s="4" t="s">
        <v>136</v>
      </c>
      <c r="K36" s="4" t="s">
        <v>139</v>
      </c>
      <c r="L36" s="12" t="s">
        <v>131</v>
      </c>
      <c r="M36" s="12" t="s">
        <v>140</v>
      </c>
      <c r="N36" s="4" t="s">
        <v>367</v>
      </c>
      <c r="O36" s="9" t="s">
        <v>304</v>
      </c>
      <c r="P36" s="9" t="s">
        <v>305</v>
      </c>
      <c r="Q36" s="9" t="s">
        <v>306</v>
      </c>
      <c r="R36" s="9" t="s">
        <v>307</v>
      </c>
      <c r="Y36" s="10">
        <f>IF(S36="", "", IF(W36="Green", S36+30, IF(W36="Yellow", S36+7, IF(W36="Red", S36+2, ""))))</f>
        <v>0</v>
      </c>
      <c r="Z36" s="11">
        <f>IF(Y36="", "", (Y36-TODAY()) * 50 - V36 * 10 - G36 * 5 + IF(W36="Red", -20, IF(W36="Yellow", -10, 0)) - IFERROR(INDEX(Analytics!$F$5:$F$20, MATCH(C36, Analytics!$A$5:$A$20, 0)) * 5, 0) + MOD(A36, 7))</f>
        <v>0</v>
      </c>
    </row>
    <row r="37" spans="1:26">
      <c r="A37" s="11">
        <v>36</v>
      </c>
      <c r="B37" s="4" t="s">
        <v>368</v>
      </c>
      <c r="C37" s="12" t="s">
        <v>90</v>
      </c>
      <c r="D37" s="12" t="s">
        <v>49</v>
      </c>
      <c r="E37" s="12" t="s">
        <v>34</v>
      </c>
      <c r="F37" s="11">
        <v>20</v>
      </c>
      <c r="G37" s="11">
        <v>10</v>
      </c>
      <c r="H37" s="12" t="s">
        <v>117</v>
      </c>
      <c r="I37" s="12" t="s">
        <v>117</v>
      </c>
      <c r="J37" s="4" t="s">
        <v>119</v>
      </c>
      <c r="K37" s="4" t="s">
        <v>122</v>
      </c>
      <c r="L37" s="12" t="s">
        <v>123</v>
      </c>
      <c r="M37" s="12" t="s">
        <v>124</v>
      </c>
      <c r="N37" s="4" t="s">
        <v>369</v>
      </c>
      <c r="O37" s="9" t="s">
        <v>304</v>
      </c>
      <c r="P37" s="9" t="s">
        <v>305</v>
      </c>
      <c r="Q37" s="9" t="s">
        <v>306</v>
      </c>
      <c r="R37" s="9" t="s">
        <v>307</v>
      </c>
      <c r="Y37" s="10">
        <f>IF(S37="", "", IF(W37="Green", S37+30, IF(W37="Yellow", S37+7, IF(W37="Red", S37+2, ""))))</f>
        <v>0</v>
      </c>
      <c r="Z37" s="11">
        <f>IF(Y37="", "", (Y37-TODAY()) * 50 - V37 * 10 - G37 * 5 + IF(W37="Red", -20, IF(W37="Yellow", -10, 0)) - IFERROR(INDEX(Analytics!$F$5:$F$20, MATCH(C37, Analytics!$A$5:$A$20, 0)) * 5, 0) + MOD(A37, 7))</f>
        <v>0</v>
      </c>
    </row>
    <row r="38" spans="1:26">
      <c r="A38" s="11">
        <v>37</v>
      </c>
      <c r="B38" s="4" t="s">
        <v>370</v>
      </c>
      <c r="C38" s="12" t="s">
        <v>90</v>
      </c>
      <c r="D38" s="12" t="s">
        <v>49</v>
      </c>
      <c r="E38" s="12" t="s">
        <v>34</v>
      </c>
      <c r="F38" s="11">
        <v>20</v>
      </c>
      <c r="G38" s="11">
        <v>10</v>
      </c>
      <c r="H38" s="12" t="s">
        <v>117</v>
      </c>
      <c r="I38" s="12" t="s">
        <v>117</v>
      </c>
      <c r="J38" s="4" t="s">
        <v>119</v>
      </c>
      <c r="K38" s="4" t="s">
        <v>122</v>
      </c>
      <c r="L38" s="12" t="s">
        <v>123</v>
      </c>
      <c r="M38" s="12" t="s">
        <v>124</v>
      </c>
      <c r="N38" s="4" t="s">
        <v>371</v>
      </c>
      <c r="O38" s="9" t="s">
        <v>304</v>
      </c>
      <c r="P38" s="9" t="s">
        <v>305</v>
      </c>
      <c r="Q38" s="9" t="s">
        <v>306</v>
      </c>
      <c r="R38" s="9" t="s">
        <v>307</v>
      </c>
      <c r="Y38" s="10">
        <f>IF(S38="", "", IF(W38="Green", S38+30, IF(W38="Yellow", S38+7, IF(W38="Red", S38+2, ""))))</f>
        <v>0</v>
      </c>
      <c r="Z38" s="11">
        <f>IF(Y38="", "", (Y38-TODAY()) * 50 - V38 * 10 - G38 * 5 + IF(W38="Red", -20, IF(W38="Yellow", -10, 0)) - IFERROR(INDEX(Analytics!$F$5:$F$20, MATCH(C38, Analytics!$A$5:$A$20, 0)) * 5, 0) + MOD(A38, 7))</f>
        <v>0</v>
      </c>
    </row>
    <row r="39" spans="1:26">
      <c r="A39" s="11">
        <v>38</v>
      </c>
      <c r="B39" s="4" t="s">
        <v>372</v>
      </c>
      <c r="C39" s="12" t="s">
        <v>90</v>
      </c>
      <c r="D39" s="12" t="s">
        <v>49</v>
      </c>
      <c r="E39" s="12" t="s">
        <v>34</v>
      </c>
      <c r="F39" s="11">
        <v>20</v>
      </c>
      <c r="G39" s="11">
        <v>8</v>
      </c>
      <c r="H39" s="12" t="s">
        <v>150</v>
      </c>
      <c r="I39" s="12" t="s">
        <v>150</v>
      </c>
      <c r="J39" s="4" t="s">
        <v>119</v>
      </c>
      <c r="K39" s="4" t="s">
        <v>122</v>
      </c>
      <c r="L39" s="12" t="s">
        <v>123</v>
      </c>
      <c r="M39" s="12" t="s">
        <v>124</v>
      </c>
      <c r="N39" s="4" t="s">
        <v>373</v>
      </c>
      <c r="O39" s="9" t="s">
        <v>304</v>
      </c>
      <c r="P39" s="9" t="s">
        <v>305</v>
      </c>
      <c r="Q39" s="9" t="s">
        <v>306</v>
      </c>
      <c r="R39" s="9" t="s">
        <v>307</v>
      </c>
      <c r="Y39" s="10">
        <f>IF(S39="", "", IF(W39="Green", S39+30, IF(W39="Yellow", S39+7, IF(W39="Red", S39+2, ""))))</f>
        <v>0</v>
      </c>
      <c r="Z39" s="11">
        <f>IF(Y39="", "", (Y39-TODAY()) * 50 - V39 * 10 - G39 * 5 + IF(W39="Red", -20, IF(W39="Yellow", -10, 0)) - IFERROR(INDEX(Analytics!$F$5:$F$20, MATCH(C39, Analytics!$A$5:$A$20, 0)) * 5, 0) + MOD(A39, 7))</f>
        <v>0</v>
      </c>
    </row>
    <row r="40" spans="1:26">
      <c r="A40" s="11">
        <v>39</v>
      </c>
      <c r="B40" s="4" t="s">
        <v>374</v>
      </c>
      <c r="C40" s="12" t="s">
        <v>90</v>
      </c>
      <c r="D40" s="12" t="s">
        <v>49</v>
      </c>
      <c r="E40" s="12" t="s">
        <v>35</v>
      </c>
      <c r="F40" s="11">
        <v>40</v>
      </c>
      <c r="G40" s="11">
        <v>9</v>
      </c>
      <c r="H40" s="12" t="s">
        <v>150</v>
      </c>
      <c r="I40" s="12" t="s">
        <v>117</v>
      </c>
      <c r="J40" s="4" t="s">
        <v>119</v>
      </c>
      <c r="K40" s="4" t="s">
        <v>122</v>
      </c>
      <c r="L40" s="12" t="s">
        <v>123</v>
      </c>
      <c r="M40" s="12" t="s">
        <v>124</v>
      </c>
      <c r="N40" s="4" t="s">
        <v>324</v>
      </c>
      <c r="O40" s="9" t="s">
        <v>304</v>
      </c>
      <c r="P40" s="9" t="s">
        <v>305</v>
      </c>
      <c r="Q40" s="9" t="s">
        <v>306</v>
      </c>
      <c r="R40" s="9" t="s">
        <v>307</v>
      </c>
      <c r="Y40" s="10">
        <f>IF(S40="", "", IF(W40="Green", S40+30, IF(W40="Yellow", S40+7, IF(W40="Red", S40+2, ""))))</f>
        <v>0</v>
      </c>
      <c r="Z40" s="11">
        <f>IF(Y40="", "", (Y40-TODAY()) * 50 - V40 * 10 - G40 * 5 + IF(W40="Red", -20, IF(W40="Yellow", -10, 0)) - IFERROR(INDEX(Analytics!$F$5:$F$20, MATCH(C40, Analytics!$A$5:$A$20, 0)) * 5, 0) + MOD(A40, 7))</f>
        <v>0</v>
      </c>
    </row>
    <row r="41" spans="1:26">
      <c r="A41" s="11">
        <v>40</v>
      </c>
      <c r="B41" s="4" t="s">
        <v>375</v>
      </c>
      <c r="C41" s="12" t="s">
        <v>90</v>
      </c>
      <c r="D41" s="12" t="s">
        <v>49</v>
      </c>
      <c r="E41" s="12" t="s">
        <v>35</v>
      </c>
      <c r="F41" s="11">
        <v>40</v>
      </c>
      <c r="G41" s="11">
        <v>10</v>
      </c>
      <c r="H41" s="12" t="s">
        <v>117</v>
      </c>
      <c r="I41" s="12" t="s">
        <v>117</v>
      </c>
      <c r="J41" s="4" t="s">
        <v>119</v>
      </c>
      <c r="K41" s="4" t="s">
        <v>122</v>
      </c>
      <c r="L41" s="12" t="s">
        <v>123</v>
      </c>
      <c r="M41" s="12" t="s">
        <v>124</v>
      </c>
      <c r="N41" s="4" t="s">
        <v>376</v>
      </c>
      <c r="O41" s="9" t="s">
        <v>304</v>
      </c>
      <c r="P41" s="9" t="s">
        <v>305</v>
      </c>
      <c r="Q41" s="9" t="s">
        <v>306</v>
      </c>
      <c r="R41" s="9" t="s">
        <v>307</v>
      </c>
      <c r="Y41" s="10">
        <f>IF(S41="", "", IF(W41="Green", S41+30, IF(W41="Yellow", S41+7, IF(W41="Red", S41+2, ""))))</f>
        <v>0</v>
      </c>
      <c r="Z41" s="11">
        <f>IF(Y41="", "", (Y41-TODAY()) * 50 - V41 * 10 - G41 * 5 + IF(W41="Red", -20, IF(W41="Yellow", -10, 0)) - IFERROR(INDEX(Analytics!$F$5:$F$20, MATCH(C41, Analytics!$A$5:$A$20, 0)) * 5, 0) + MOD(A41, 7))</f>
        <v>0</v>
      </c>
    </row>
    <row r="42" spans="1:26">
      <c r="A42" s="11">
        <v>41</v>
      </c>
      <c r="B42" s="4" t="s">
        <v>377</v>
      </c>
      <c r="C42" s="12" t="s">
        <v>90</v>
      </c>
      <c r="D42" s="12" t="s">
        <v>49</v>
      </c>
      <c r="E42" s="12" t="s">
        <v>35</v>
      </c>
      <c r="F42" s="11">
        <v>40</v>
      </c>
      <c r="G42" s="11">
        <v>9</v>
      </c>
      <c r="H42" s="12" t="s">
        <v>117</v>
      </c>
      <c r="I42" s="12" t="s">
        <v>117</v>
      </c>
      <c r="J42" s="4" t="s">
        <v>119</v>
      </c>
      <c r="K42" s="4" t="s">
        <v>122</v>
      </c>
      <c r="L42" s="12" t="s">
        <v>123</v>
      </c>
      <c r="M42" s="12" t="s">
        <v>124</v>
      </c>
      <c r="N42" s="4" t="s">
        <v>324</v>
      </c>
      <c r="O42" s="9" t="s">
        <v>304</v>
      </c>
      <c r="P42" s="9" t="s">
        <v>305</v>
      </c>
      <c r="Q42" s="9" t="s">
        <v>306</v>
      </c>
      <c r="R42" s="9" t="s">
        <v>307</v>
      </c>
      <c r="Y42" s="10">
        <f>IF(S42="", "", IF(W42="Green", S42+30, IF(W42="Yellow", S42+7, IF(W42="Red", S42+2, ""))))</f>
        <v>0</v>
      </c>
      <c r="Z42" s="11">
        <f>IF(Y42="", "", (Y42-TODAY()) * 50 - V42 * 10 - G42 * 5 + IF(W42="Red", -20, IF(W42="Yellow", -10, 0)) - IFERROR(INDEX(Analytics!$F$5:$F$20, MATCH(C42, Analytics!$A$5:$A$20, 0)) * 5, 0) + MOD(A42, 7))</f>
        <v>0</v>
      </c>
    </row>
    <row r="43" spans="1:26">
      <c r="A43" s="11">
        <v>42</v>
      </c>
      <c r="B43" s="4" t="s">
        <v>378</v>
      </c>
      <c r="C43" s="12" t="s">
        <v>90</v>
      </c>
      <c r="D43" s="12" t="s">
        <v>49</v>
      </c>
      <c r="E43" s="12" t="s">
        <v>35</v>
      </c>
      <c r="F43" s="11">
        <v>40</v>
      </c>
      <c r="G43" s="11">
        <v>10</v>
      </c>
      <c r="H43" s="12" t="s">
        <v>117</v>
      </c>
      <c r="I43" s="12" t="s">
        <v>117</v>
      </c>
      <c r="J43" s="4" t="s">
        <v>119</v>
      </c>
      <c r="K43" s="4" t="s">
        <v>122</v>
      </c>
      <c r="L43" s="12" t="s">
        <v>123</v>
      </c>
      <c r="M43" s="12" t="s">
        <v>124</v>
      </c>
      <c r="N43" s="4" t="s">
        <v>352</v>
      </c>
      <c r="O43" s="9" t="s">
        <v>304</v>
      </c>
      <c r="P43" s="9" t="s">
        <v>305</v>
      </c>
      <c r="Q43" s="9" t="s">
        <v>306</v>
      </c>
      <c r="R43" s="9" t="s">
        <v>307</v>
      </c>
      <c r="Y43" s="10">
        <f>IF(S43="", "", IF(W43="Green", S43+30, IF(W43="Yellow", S43+7, IF(W43="Red", S43+2, ""))))</f>
        <v>0</v>
      </c>
      <c r="Z43" s="11">
        <f>IF(Y43="", "", (Y43-TODAY()) * 50 - V43 * 10 - G43 * 5 + IF(W43="Red", -20, IF(W43="Yellow", -10, 0)) - IFERROR(INDEX(Analytics!$F$5:$F$20, MATCH(C43, Analytics!$A$5:$A$20, 0)) * 5, 0) + MOD(A43, 7))</f>
        <v>0</v>
      </c>
    </row>
    <row r="44" spans="1:26">
      <c r="A44" s="11">
        <v>43</v>
      </c>
      <c r="B44" s="4" t="s">
        <v>379</v>
      </c>
      <c r="C44" s="12" t="s">
        <v>90</v>
      </c>
      <c r="D44" s="12" t="s">
        <v>49</v>
      </c>
      <c r="E44" s="12" t="s">
        <v>35</v>
      </c>
      <c r="F44" s="11">
        <v>40</v>
      </c>
      <c r="G44" s="11">
        <v>9</v>
      </c>
      <c r="H44" s="12" t="s">
        <v>150</v>
      </c>
      <c r="I44" s="12" t="s">
        <v>117</v>
      </c>
      <c r="J44" s="4" t="s">
        <v>119</v>
      </c>
      <c r="K44" s="4" t="s">
        <v>122</v>
      </c>
      <c r="L44" s="12" t="s">
        <v>123</v>
      </c>
      <c r="M44" s="12" t="s">
        <v>124</v>
      </c>
      <c r="N44" s="4" t="s">
        <v>336</v>
      </c>
      <c r="O44" s="9" t="s">
        <v>304</v>
      </c>
      <c r="P44" s="9" t="s">
        <v>305</v>
      </c>
      <c r="Q44" s="9" t="s">
        <v>306</v>
      </c>
      <c r="R44" s="9" t="s">
        <v>307</v>
      </c>
      <c r="Y44" s="10">
        <f>IF(S44="", "", IF(W44="Green", S44+30, IF(W44="Yellow", S44+7, IF(W44="Red", S44+2, ""))))</f>
        <v>0</v>
      </c>
      <c r="Z44" s="11">
        <f>IF(Y44="", "", (Y44-TODAY()) * 50 - V44 * 10 - G44 * 5 + IF(W44="Red", -20, IF(W44="Yellow", -10, 0)) - IFERROR(INDEX(Analytics!$F$5:$F$20, MATCH(C44, Analytics!$A$5:$A$20, 0)) * 5, 0) + MOD(A44, 7))</f>
        <v>0</v>
      </c>
    </row>
    <row r="45" spans="1:26">
      <c r="A45" s="11">
        <v>44</v>
      </c>
      <c r="B45" s="4" t="s">
        <v>134</v>
      </c>
      <c r="C45" s="12" t="s">
        <v>90</v>
      </c>
      <c r="D45" s="12" t="s">
        <v>49</v>
      </c>
      <c r="E45" s="12" t="s">
        <v>36</v>
      </c>
      <c r="F45" s="11">
        <v>60</v>
      </c>
      <c r="G45" s="11">
        <v>8</v>
      </c>
      <c r="H45" s="12" t="s">
        <v>317</v>
      </c>
      <c r="I45" s="12" t="s">
        <v>150</v>
      </c>
      <c r="J45" s="4" t="s">
        <v>119</v>
      </c>
      <c r="K45" s="4" t="s">
        <v>122</v>
      </c>
      <c r="L45" s="12" t="s">
        <v>123</v>
      </c>
      <c r="M45" s="12" t="s">
        <v>124</v>
      </c>
      <c r="N45" s="4" t="s">
        <v>73</v>
      </c>
      <c r="O45" s="9" t="s">
        <v>304</v>
      </c>
      <c r="P45" s="9" t="s">
        <v>305</v>
      </c>
      <c r="Q45" s="9" t="s">
        <v>306</v>
      </c>
      <c r="R45" s="9" t="s">
        <v>307</v>
      </c>
      <c r="Y45" s="10">
        <f>IF(S45="", "", IF(W45="Green", S45+30, IF(W45="Yellow", S45+7, IF(W45="Red", S45+2, ""))))</f>
        <v>0</v>
      </c>
      <c r="Z45" s="11">
        <f>IF(Y45="", "", (Y45-TODAY()) * 50 - V45 * 10 - G45 * 5 + IF(W45="Red", -20, IF(W45="Yellow", -10, 0)) - IFERROR(INDEX(Analytics!$F$5:$F$20, MATCH(C45, Analytics!$A$5:$A$20, 0)) * 5, 0) + MOD(A45, 7))</f>
        <v>0</v>
      </c>
    </row>
    <row r="46" spans="1:26">
      <c r="A46" s="11">
        <v>45</v>
      </c>
      <c r="B46" s="4" t="s">
        <v>380</v>
      </c>
      <c r="C46" s="12" t="s">
        <v>90</v>
      </c>
      <c r="D46" s="12" t="s">
        <v>49</v>
      </c>
      <c r="E46" s="12" t="s">
        <v>34</v>
      </c>
      <c r="F46" s="11">
        <v>20</v>
      </c>
      <c r="G46" s="11">
        <v>8</v>
      </c>
      <c r="H46" s="12" t="s">
        <v>150</v>
      </c>
      <c r="I46" s="12" t="s">
        <v>150</v>
      </c>
      <c r="J46" s="4" t="s">
        <v>119</v>
      </c>
      <c r="K46" s="4" t="s">
        <v>122</v>
      </c>
      <c r="L46" s="12" t="s">
        <v>123</v>
      </c>
      <c r="M46" s="12" t="s">
        <v>124</v>
      </c>
      <c r="N46" s="4" t="s">
        <v>334</v>
      </c>
      <c r="O46" s="9" t="s">
        <v>304</v>
      </c>
      <c r="P46" s="9" t="s">
        <v>305</v>
      </c>
      <c r="Q46" s="9" t="s">
        <v>306</v>
      </c>
      <c r="R46" s="9" t="s">
        <v>307</v>
      </c>
      <c r="Y46" s="10">
        <f>IF(S46="", "", IF(W46="Green", S46+30, IF(W46="Yellow", S46+7, IF(W46="Red", S46+2, ""))))</f>
        <v>0</v>
      </c>
      <c r="Z46" s="11">
        <f>IF(Y46="", "", (Y46-TODAY()) * 50 - V46 * 10 - G46 * 5 + IF(W46="Red", -20, IF(W46="Yellow", -10, 0)) - IFERROR(INDEX(Analytics!$F$5:$F$20, MATCH(C46, Analytics!$A$5:$A$20, 0)) * 5, 0) + MOD(A46, 7))</f>
        <v>0</v>
      </c>
    </row>
    <row r="47" spans="1:26">
      <c r="A47" s="11">
        <v>46</v>
      </c>
      <c r="B47" s="4" t="s">
        <v>381</v>
      </c>
      <c r="C47" s="12" t="s">
        <v>90</v>
      </c>
      <c r="D47" s="12" t="s">
        <v>49</v>
      </c>
      <c r="E47" s="12" t="s">
        <v>34</v>
      </c>
      <c r="F47" s="11">
        <v>20</v>
      </c>
      <c r="G47" s="11">
        <v>8</v>
      </c>
      <c r="H47" s="12" t="s">
        <v>317</v>
      </c>
      <c r="I47" s="12" t="s">
        <v>150</v>
      </c>
      <c r="J47" s="4" t="s">
        <v>119</v>
      </c>
      <c r="K47" s="4" t="s">
        <v>122</v>
      </c>
      <c r="L47" s="12" t="s">
        <v>123</v>
      </c>
      <c r="M47" s="12" t="s">
        <v>124</v>
      </c>
      <c r="N47" s="4" t="s">
        <v>318</v>
      </c>
      <c r="O47" s="9" t="s">
        <v>304</v>
      </c>
      <c r="P47" s="9" t="s">
        <v>305</v>
      </c>
      <c r="Q47" s="9" t="s">
        <v>306</v>
      </c>
      <c r="R47" s="9" t="s">
        <v>307</v>
      </c>
      <c r="Y47" s="10">
        <f>IF(S47="", "", IF(W47="Green", S47+30, IF(W47="Yellow", S47+7, IF(W47="Red", S47+2, ""))))</f>
        <v>0</v>
      </c>
      <c r="Z47" s="11">
        <f>IF(Y47="", "", (Y47-TODAY()) * 50 - V47 * 10 - G47 * 5 + IF(W47="Red", -20, IF(W47="Yellow", -10, 0)) - IFERROR(INDEX(Analytics!$F$5:$F$20, MATCH(C47, Analytics!$A$5:$A$20, 0)) * 5, 0) + MOD(A47, 7))</f>
        <v>0</v>
      </c>
    </row>
    <row r="48" spans="1:26">
      <c r="A48" s="11">
        <v>47</v>
      </c>
      <c r="B48" s="4" t="s">
        <v>382</v>
      </c>
      <c r="C48" s="12" t="s">
        <v>90</v>
      </c>
      <c r="D48" s="12" t="s">
        <v>49</v>
      </c>
      <c r="E48" s="12" t="s">
        <v>34</v>
      </c>
      <c r="F48" s="11">
        <v>20</v>
      </c>
      <c r="G48" s="11">
        <v>8</v>
      </c>
      <c r="H48" s="12" t="s">
        <v>150</v>
      </c>
      <c r="I48" s="12" t="s">
        <v>150</v>
      </c>
      <c r="J48" s="4" t="s">
        <v>119</v>
      </c>
      <c r="K48" s="4" t="s">
        <v>122</v>
      </c>
      <c r="L48" s="12" t="s">
        <v>123</v>
      </c>
      <c r="M48" s="12" t="s">
        <v>124</v>
      </c>
      <c r="N48" s="4" t="s">
        <v>383</v>
      </c>
      <c r="O48" s="9" t="s">
        <v>304</v>
      </c>
      <c r="P48" s="9" t="s">
        <v>305</v>
      </c>
      <c r="Q48" s="9" t="s">
        <v>306</v>
      </c>
      <c r="R48" s="9" t="s">
        <v>307</v>
      </c>
      <c r="Y48" s="10">
        <f>IF(S48="", "", IF(W48="Green", S48+30, IF(W48="Yellow", S48+7, IF(W48="Red", S48+2, ""))))</f>
        <v>0</v>
      </c>
      <c r="Z48" s="11">
        <f>IF(Y48="", "", (Y48-TODAY()) * 50 - V48 * 10 - G48 * 5 + IF(W48="Red", -20, IF(W48="Yellow", -10, 0)) - IFERROR(INDEX(Analytics!$F$5:$F$20, MATCH(C48, Analytics!$A$5:$A$20, 0)) * 5, 0) + MOD(A48, 7))</f>
        <v>0</v>
      </c>
    </row>
    <row r="49" spans="1:26">
      <c r="A49" s="11">
        <v>48</v>
      </c>
      <c r="B49" s="4" t="s">
        <v>384</v>
      </c>
      <c r="C49" s="12" t="s">
        <v>90</v>
      </c>
      <c r="D49" s="12" t="s">
        <v>49</v>
      </c>
      <c r="E49" s="12" t="s">
        <v>34</v>
      </c>
      <c r="F49" s="11">
        <v>20</v>
      </c>
      <c r="G49" s="11">
        <v>8</v>
      </c>
      <c r="H49" s="12" t="s">
        <v>317</v>
      </c>
      <c r="I49" s="12" t="s">
        <v>150</v>
      </c>
      <c r="J49" s="4" t="s">
        <v>119</v>
      </c>
      <c r="K49" s="4" t="s">
        <v>122</v>
      </c>
      <c r="L49" s="12" t="s">
        <v>123</v>
      </c>
      <c r="M49" s="12" t="s">
        <v>124</v>
      </c>
      <c r="N49" s="4" t="s">
        <v>354</v>
      </c>
      <c r="O49" s="9" t="s">
        <v>304</v>
      </c>
      <c r="P49" s="9" t="s">
        <v>305</v>
      </c>
      <c r="Q49" s="9" t="s">
        <v>306</v>
      </c>
      <c r="R49" s="9" t="s">
        <v>307</v>
      </c>
      <c r="Y49" s="10">
        <f>IF(S49="", "", IF(W49="Green", S49+30, IF(W49="Yellow", S49+7, IF(W49="Red", S49+2, ""))))</f>
        <v>0</v>
      </c>
      <c r="Z49" s="11">
        <f>IF(Y49="", "", (Y49-TODAY()) * 50 - V49 * 10 - G49 * 5 + IF(W49="Red", -20, IF(W49="Yellow", -10, 0)) - IFERROR(INDEX(Analytics!$F$5:$F$20, MATCH(C49, Analytics!$A$5:$A$20, 0)) * 5, 0) + MOD(A49, 7))</f>
        <v>0</v>
      </c>
    </row>
    <row r="50" spans="1:26">
      <c r="A50" s="11">
        <v>49</v>
      </c>
      <c r="B50" s="4" t="s">
        <v>385</v>
      </c>
      <c r="C50" s="12" t="s">
        <v>90</v>
      </c>
      <c r="D50" s="12" t="s">
        <v>49</v>
      </c>
      <c r="E50" s="12" t="s">
        <v>34</v>
      </c>
      <c r="F50" s="11">
        <v>20</v>
      </c>
      <c r="G50" s="11">
        <v>7</v>
      </c>
      <c r="H50" s="12" t="s">
        <v>317</v>
      </c>
      <c r="I50" s="12" t="s">
        <v>150</v>
      </c>
      <c r="J50" s="4" t="s">
        <v>119</v>
      </c>
      <c r="K50" s="4" t="s">
        <v>122</v>
      </c>
      <c r="L50" s="12" t="s">
        <v>123</v>
      </c>
      <c r="M50" s="12" t="s">
        <v>124</v>
      </c>
      <c r="N50" s="4" t="s">
        <v>386</v>
      </c>
      <c r="O50" s="9" t="s">
        <v>304</v>
      </c>
      <c r="P50" s="9" t="s">
        <v>305</v>
      </c>
      <c r="Q50" s="9" t="s">
        <v>306</v>
      </c>
      <c r="R50" s="9" t="s">
        <v>307</v>
      </c>
      <c r="Y50" s="10">
        <f>IF(S50="", "", IF(W50="Green", S50+30, IF(W50="Yellow", S50+7, IF(W50="Red", S50+2, ""))))</f>
        <v>0</v>
      </c>
      <c r="Z50" s="11">
        <f>IF(Y50="", "", (Y50-TODAY()) * 50 - V50 * 10 - G50 * 5 + IF(W50="Red", -20, IF(W50="Yellow", -10, 0)) - IFERROR(INDEX(Analytics!$F$5:$F$20, MATCH(C50, Analytics!$A$5:$A$20, 0)) * 5, 0) + MOD(A50, 7))</f>
        <v>0</v>
      </c>
    </row>
    <row r="51" spans="1:26">
      <c r="A51" s="11">
        <v>50</v>
      </c>
      <c r="B51" s="4" t="s">
        <v>387</v>
      </c>
      <c r="C51" s="12" t="s">
        <v>90</v>
      </c>
      <c r="D51" s="12" t="s">
        <v>49</v>
      </c>
      <c r="E51" s="12" t="s">
        <v>34</v>
      </c>
      <c r="F51" s="11">
        <v>20</v>
      </c>
      <c r="G51" s="11">
        <v>7</v>
      </c>
      <c r="H51" s="12" t="s">
        <v>317</v>
      </c>
      <c r="I51" s="12" t="s">
        <v>150</v>
      </c>
      <c r="J51" s="4" t="s">
        <v>119</v>
      </c>
      <c r="K51" s="4" t="s">
        <v>122</v>
      </c>
      <c r="L51" s="12" t="s">
        <v>123</v>
      </c>
      <c r="M51" s="12" t="s">
        <v>124</v>
      </c>
      <c r="N51" s="4" t="s">
        <v>75</v>
      </c>
      <c r="O51" s="9" t="s">
        <v>304</v>
      </c>
      <c r="P51" s="9" t="s">
        <v>305</v>
      </c>
      <c r="Q51" s="9" t="s">
        <v>306</v>
      </c>
      <c r="R51" s="9" t="s">
        <v>307</v>
      </c>
      <c r="Y51" s="10">
        <f>IF(S51="", "", IF(W51="Green", S51+30, IF(W51="Yellow", S51+7, IF(W51="Red", S51+2, ""))))</f>
        <v>0</v>
      </c>
      <c r="Z51" s="11">
        <f>IF(Y51="", "", (Y51-TODAY()) * 50 - V51 * 10 - G51 * 5 + IF(W51="Red", -20, IF(W51="Yellow", -10, 0)) - IFERROR(INDEX(Analytics!$F$5:$F$20, MATCH(C51, Analytics!$A$5:$A$20, 0)) * 5, 0) + MOD(A51, 7))</f>
        <v>0</v>
      </c>
    </row>
    <row r="52" spans="1:26">
      <c r="A52" s="11">
        <v>51</v>
      </c>
      <c r="B52" s="4" t="s">
        <v>388</v>
      </c>
      <c r="C52" s="12" t="s">
        <v>90</v>
      </c>
      <c r="D52" s="12" t="s">
        <v>49</v>
      </c>
      <c r="E52" s="12" t="s">
        <v>35</v>
      </c>
      <c r="F52" s="11">
        <v>40</v>
      </c>
      <c r="G52" s="11">
        <v>8</v>
      </c>
      <c r="H52" s="12" t="s">
        <v>317</v>
      </c>
      <c r="I52" s="12" t="s">
        <v>150</v>
      </c>
      <c r="J52" s="4" t="s">
        <v>119</v>
      </c>
      <c r="K52" s="4" t="s">
        <v>122</v>
      </c>
      <c r="L52" s="12" t="s">
        <v>123</v>
      </c>
      <c r="M52" s="12" t="s">
        <v>124</v>
      </c>
      <c r="N52" s="4" t="s">
        <v>72</v>
      </c>
      <c r="O52" s="9" t="s">
        <v>304</v>
      </c>
      <c r="P52" s="9" t="s">
        <v>305</v>
      </c>
      <c r="Q52" s="9" t="s">
        <v>306</v>
      </c>
      <c r="R52" s="9" t="s">
        <v>307</v>
      </c>
      <c r="Y52" s="10">
        <f>IF(S52="", "", IF(W52="Green", S52+30, IF(W52="Yellow", S52+7, IF(W52="Red", S52+2, ""))))</f>
        <v>0</v>
      </c>
      <c r="Z52" s="11">
        <f>IF(Y52="", "", (Y52-TODAY()) * 50 - V52 * 10 - G52 * 5 + IF(W52="Red", -20, IF(W52="Yellow", -10, 0)) - IFERROR(INDEX(Analytics!$F$5:$F$20, MATCH(C52, Analytics!$A$5:$A$20, 0)) * 5, 0) + MOD(A52, 7))</f>
        <v>0</v>
      </c>
    </row>
    <row r="53" spans="1:26">
      <c r="A53" s="11">
        <v>52</v>
      </c>
      <c r="B53" s="4" t="s">
        <v>389</v>
      </c>
      <c r="C53" s="12" t="s">
        <v>90</v>
      </c>
      <c r="D53" s="12" t="s">
        <v>49</v>
      </c>
      <c r="E53" s="12" t="s">
        <v>35</v>
      </c>
      <c r="F53" s="11">
        <v>40</v>
      </c>
      <c r="G53" s="11">
        <v>8</v>
      </c>
      <c r="H53" s="12" t="s">
        <v>150</v>
      </c>
      <c r="I53" s="12" t="s">
        <v>150</v>
      </c>
      <c r="J53" s="4" t="s">
        <v>119</v>
      </c>
      <c r="K53" s="4" t="s">
        <v>122</v>
      </c>
      <c r="L53" s="12" t="s">
        <v>123</v>
      </c>
      <c r="M53" s="12" t="s">
        <v>124</v>
      </c>
      <c r="N53" s="4" t="s">
        <v>336</v>
      </c>
      <c r="O53" s="9" t="s">
        <v>304</v>
      </c>
      <c r="P53" s="9" t="s">
        <v>305</v>
      </c>
      <c r="Q53" s="9" t="s">
        <v>306</v>
      </c>
      <c r="R53" s="9" t="s">
        <v>307</v>
      </c>
      <c r="Y53" s="10">
        <f>IF(S53="", "", IF(W53="Green", S53+30, IF(W53="Yellow", S53+7, IF(W53="Red", S53+2, ""))))</f>
        <v>0</v>
      </c>
      <c r="Z53" s="11">
        <f>IF(Y53="", "", (Y53-TODAY()) * 50 - V53 * 10 - G53 * 5 + IF(W53="Red", -20, IF(W53="Yellow", -10, 0)) - IFERROR(INDEX(Analytics!$F$5:$F$20, MATCH(C53, Analytics!$A$5:$A$20, 0)) * 5, 0) + MOD(A53, 7))</f>
        <v>0</v>
      </c>
    </row>
    <row r="54" spans="1:26">
      <c r="A54" s="11">
        <v>53</v>
      </c>
      <c r="B54" s="4" t="s">
        <v>390</v>
      </c>
      <c r="C54" s="12" t="s">
        <v>90</v>
      </c>
      <c r="D54" s="12" t="s">
        <v>49</v>
      </c>
      <c r="E54" s="12" t="s">
        <v>35</v>
      </c>
      <c r="F54" s="11">
        <v>40</v>
      </c>
      <c r="G54" s="11">
        <v>9</v>
      </c>
      <c r="H54" s="12" t="s">
        <v>150</v>
      </c>
      <c r="I54" s="12" t="s">
        <v>117</v>
      </c>
      <c r="J54" s="4" t="s">
        <v>119</v>
      </c>
      <c r="K54" s="4" t="s">
        <v>122</v>
      </c>
      <c r="L54" s="12" t="s">
        <v>123</v>
      </c>
      <c r="M54" s="12" t="s">
        <v>124</v>
      </c>
      <c r="N54" s="4" t="s">
        <v>336</v>
      </c>
      <c r="O54" s="9" t="s">
        <v>304</v>
      </c>
      <c r="P54" s="9" t="s">
        <v>305</v>
      </c>
      <c r="Q54" s="9" t="s">
        <v>306</v>
      </c>
      <c r="R54" s="9" t="s">
        <v>307</v>
      </c>
      <c r="Y54" s="10">
        <f>IF(S54="", "", IF(W54="Green", S54+30, IF(W54="Yellow", S54+7, IF(W54="Red", S54+2, ""))))</f>
        <v>0</v>
      </c>
      <c r="Z54" s="11">
        <f>IF(Y54="", "", (Y54-TODAY()) * 50 - V54 * 10 - G54 * 5 + IF(W54="Red", -20, IF(W54="Yellow", -10, 0)) - IFERROR(INDEX(Analytics!$F$5:$F$20, MATCH(C54, Analytics!$A$5:$A$20, 0)) * 5, 0) + MOD(A54, 7))</f>
        <v>0</v>
      </c>
    </row>
    <row r="55" spans="1:26">
      <c r="A55" s="11">
        <v>54</v>
      </c>
      <c r="B55" s="4" t="s">
        <v>391</v>
      </c>
      <c r="C55" s="12" t="s">
        <v>90</v>
      </c>
      <c r="D55" s="12" t="s">
        <v>49</v>
      </c>
      <c r="E55" s="12" t="s">
        <v>35</v>
      </c>
      <c r="F55" s="11">
        <v>40</v>
      </c>
      <c r="G55" s="11">
        <v>8</v>
      </c>
      <c r="H55" s="12" t="s">
        <v>317</v>
      </c>
      <c r="I55" s="12" t="s">
        <v>150</v>
      </c>
      <c r="J55" s="4" t="s">
        <v>119</v>
      </c>
      <c r="K55" s="4" t="s">
        <v>122</v>
      </c>
      <c r="L55" s="12" t="s">
        <v>123</v>
      </c>
      <c r="M55" s="12" t="s">
        <v>124</v>
      </c>
      <c r="N55" s="4" t="s">
        <v>362</v>
      </c>
      <c r="O55" s="9" t="s">
        <v>304</v>
      </c>
      <c r="P55" s="9" t="s">
        <v>305</v>
      </c>
      <c r="Q55" s="9" t="s">
        <v>306</v>
      </c>
      <c r="R55" s="9" t="s">
        <v>307</v>
      </c>
      <c r="Y55" s="10">
        <f>IF(S55="", "", IF(W55="Green", S55+30, IF(W55="Yellow", S55+7, IF(W55="Red", S55+2, ""))))</f>
        <v>0</v>
      </c>
      <c r="Z55" s="11">
        <f>IF(Y55="", "", (Y55-TODAY()) * 50 - V55 * 10 - G55 * 5 + IF(W55="Red", -20, IF(W55="Yellow", -10, 0)) - IFERROR(INDEX(Analytics!$F$5:$F$20, MATCH(C55, Analytics!$A$5:$A$20, 0)) * 5, 0) + MOD(A55, 7))</f>
        <v>0</v>
      </c>
    </row>
    <row r="56" spans="1:26">
      <c r="A56" s="11">
        <v>55</v>
      </c>
      <c r="B56" s="4" t="s">
        <v>392</v>
      </c>
      <c r="C56" s="12" t="s">
        <v>90</v>
      </c>
      <c r="D56" s="12" t="s">
        <v>49</v>
      </c>
      <c r="E56" s="12" t="s">
        <v>35</v>
      </c>
      <c r="F56" s="11">
        <v>40</v>
      </c>
      <c r="G56" s="11">
        <v>7</v>
      </c>
      <c r="H56" s="12" t="s">
        <v>317</v>
      </c>
      <c r="I56" s="12" t="s">
        <v>150</v>
      </c>
      <c r="J56" s="4" t="s">
        <v>119</v>
      </c>
      <c r="K56" s="4" t="s">
        <v>122</v>
      </c>
      <c r="L56" s="12" t="s">
        <v>123</v>
      </c>
      <c r="M56" s="12" t="s">
        <v>124</v>
      </c>
      <c r="N56" s="4" t="s">
        <v>393</v>
      </c>
      <c r="O56" s="9" t="s">
        <v>304</v>
      </c>
      <c r="P56" s="9" t="s">
        <v>305</v>
      </c>
      <c r="Q56" s="9" t="s">
        <v>306</v>
      </c>
      <c r="R56" s="9" t="s">
        <v>307</v>
      </c>
      <c r="Y56" s="10">
        <f>IF(S56="", "", IF(W56="Green", S56+30, IF(W56="Yellow", S56+7, IF(W56="Red", S56+2, ""))))</f>
        <v>0</v>
      </c>
      <c r="Z56" s="11">
        <f>IF(Y56="", "", (Y56-TODAY()) * 50 - V56 * 10 - G56 * 5 + IF(W56="Red", -20, IF(W56="Yellow", -10, 0)) - IFERROR(INDEX(Analytics!$F$5:$F$20, MATCH(C56, Analytics!$A$5:$A$20, 0)) * 5, 0) + MOD(A56, 7))</f>
        <v>0</v>
      </c>
    </row>
    <row r="57" spans="1:26">
      <c r="A57" s="11">
        <v>56</v>
      </c>
      <c r="B57" s="4" t="s">
        <v>394</v>
      </c>
      <c r="C57" s="12" t="s">
        <v>91</v>
      </c>
      <c r="D57" s="12" t="s">
        <v>63</v>
      </c>
      <c r="E57" s="12" t="s">
        <v>34</v>
      </c>
      <c r="F57" s="11">
        <v>20</v>
      </c>
      <c r="G57" s="11">
        <v>10</v>
      </c>
      <c r="H57" s="12" t="s">
        <v>117</v>
      </c>
      <c r="I57" s="12" t="s">
        <v>117</v>
      </c>
      <c r="J57" s="4" t="s">
        <v>136</v>
      </c>
      <c r="K57" s="4" t="s">
        <v>139</v>
      </c>
      <c r="L57" s="12" t="s">
        <v>131</v>
      </c>
      <c r="M57" s="12" t="s">
        <v>140</v>
      </c>
      <c r="N57" s="4" t="s">
        <v>395</v>
      </c>
      <c r="O57" s="9" t="s">
        <v>304</v>
      </c>
      <c r="P57" s="9" t="s">
        <v>305</v>
      </c>
      <c r="Q57" s="9" t="s">
        <v>306</v>
      </c>
      <c r="R57" s="9" t="s">
        <v>307</v>
      </c>
      <c r="Y57" s="10">
        <f>IF(S57="", "", IF(W57="Green", S57+30, IF(W57="Yellow", S57+7, IF(W57="Red", S57+2, ""))))</f>
        <v>0</v>
      </c>
      <c r="Z57" s="11">
        <f>IF(Y57="", "", (Y57-TODAY()) * 50 - V57 * 10 - G57 * 5 + IF(W57="Red", -20, IF(W57="Yellow", -10, 0)) - IFERROR(INDEX(Analytics!$F$5:$F$20, MATCH(C57, Analytics!$A$5:$A$20, 0)) * 5, 0) + MOD(A57, 7))</f>
        <v>0</v>
      </c>
    </row>
    <row r="58" spans="1:26">
      <c r="A58" s="11">
        <v>57</v>
      </c>
      <c r="B58" s="4" t="s">
        <v>396</v>
      </c>
      <c r="C58" s="12" t="s">
        <v>91</v>
      </c>
      <c r="D58" s="12" t="s">
        <v>63</v>
      </c>
      <c r="E58" s="12" t="s">
        <v>34</v>
      </c>
      <c r="F58" s="11">
        <v>20</v>
      </c>
      <c r="G58" s="11">
        <v>10</v>
      </c>
      <c r="H58" s="12" t="s">
        <v>117</v>
      </c>
      <c r="I58" s="12" t="s">
        <v>117</v>
      </c>
      <c r="J58" s="4" t="s">
        <v>136</v>
      </c>
      <c r="K58" s="4" t="s">
        <v>139</v>
      </c>
      <c r="L58" s="12" t="s">
        <v>131</v>
      </c>
      <c r="M58" s="12" t="s">
        <v>140</v>
      </c>
      <c r="N58" s="4" t="s">
        <v>397</v>
      </c>
      <c r="O58" s="9" t="s">
        <v>304</v>
      </c>
      <c r="P58" s="9" t="s">
        <v>305</v>
      </c>
      <c r="Q58" s="9" t="s">
        <v>306</v>
      </c>
      <c r="R58" s="9" t="s">
        <v>307</v>
      </c>
      <c r="Y58" s="10">
        <f>IF(S58="", "", IF(W58="Green", S58+30, IF(W58="Yellow", S58+7, IF(W58="Red", S58+2, ""))))</f>
        <v>0</v>
      </c>
      <c r="Z58" s="11">
        <f>IF(Y58="", "", (Y58-TODAY()) * 50 - V58 * 10 - G58 * 5 + IF(W58="Red", -20, IF(W58="Yellow", -10, 0)) - IFERROR(INDEX(Analytics!$F$5:$F$20, MATCH(C58, Analytics!$A$5:$A$20, 0)) * 5, 0) + MOD(A58, 7))</f>
        <v>0</v>
      </c>
    </row>
    <row r="59" spans="1:26">
      <c r="A59" s="11">
        <v>58</v>
      </c>
      <c r="B59" s="4" t="s">
        <v>398</v>
      </c>
      <c r="C59" s="12" t="s">
        <v>91</v>
      </c>
      <c r="D59" s="12" t="s">
        <v>63</v>
      </c>
      <c r="E59" s="12" t="s">
        <v>34</v>
      </c>
      <c r="F59" s="11">
        <v>20</v>
      </c>
      <c r="G59" s="11">
        <v>9</v>
      </c>
      <c r="H59" s="12" t="s">
        <v>150</v>
      </c>
      <c r="I59" s="12" t="s">
        <v>117</v>
      </c>
      <c r="J59" s="4" t="s">
        <v>136</v>
      </c>
      <c r="K59" s="4" t="s">
        <v>139</v>
      </c>
      <c r="L59" s="12" t="s">
        <v>131</v>
      </c>
      <c r="M59" s="12" t="s">
        <v>140</v>
      </c>
      <c r="N59" s="4" t="s">
        <v>399</v>
      </c>
      <c r="O59" s="9" t="s">
        <v>304</v>
      </c>
      <c r="P59" s="9" t="s">
        <v>305</v>
      </c>
      <c r="Q59" s="9" t="s">
        <v>306</v>
      </c>
      <c r="R59" s="9" t="s">
        <v>307</v>
      </c>
      <c r="Y59" s="10">
        <f>IF(S59="", "", IF(W59="Green", S59+30, IF(W59="Yellow", S59+7, IF(W59="Red", S59+2, ""))))</f>
        <v>0</v>
      </c>
      <c r="Z59" s="11">
        <f>IF(Y59="", "", (Y59-TODAY()) * 50 - V59 * 10 - G59 * 5 + IF(W59="Red", -20, IF(W59="Yellow", -10, 0)) - IFERROR(INDEX(Analytics!$F$5:$F$20, MATCH(C59, Analytics!$A$5:$A$20, 0)) * 5, 0) + MOD(A59, 7))</f>
        <v>0</v>
      </c>
    </row>
    <row r="60" spans="1:26">
      <c r="A60" s="11">
        <v>59</v>
      </c>
      <c r="B60" s="4" t="s">
        <v>400</v>
      </c>
      <c r="C60" s="12" t="s">
        <v>91</v>
      </c>
      <c r="D60" s="12" t="s">
        <v>45</v>
      </c>
      <c r="E60" s="12" t="s">
        <v>34</v>
      </c>
      <c r="F60" s="11">
        <v>20</v>
      </c>
      <c r="G60" s="11">
        <v>9</v>
      </c>
      <c r="H60" s="12" t="s">
        <v>150</v>
      </c>
      <c r="I60" s="12" t="s">
        <v>117</v>
      </c>
      <c r="J60" s="4" t="s">
        <v>280</v>
      </c>
      <c r="K60" s="4" t="s">
        <v>283</v>
      </c>
      <c r="L60" s="12" t="s">
        <v>140</v>
      </c>
      <c r="M60" s="12" t="s">
        <v>140</v>
      </c>
      <c r="N60" s="4" t="s">
        <v>401</v>
      </c>
      <c r="O60" s="9" t="s">
        <v>304</v>
      </c>
      <c r="P60" s="9" t="s">
        <v>305</v>
      </c>
      <c r="Q60" s="9" t="s">
        <v>306</v>
      </c>
      <c r="R60" s="9" t="s">
        <v>307</v>
      </c>
      <c r="Y60" s="10">
        <f>IF(S60="", "", IF(W60="Green", S60+30, IF(W60="Yellow", S60+7, IF(W60="Red", S60+2, ""))))</f>
        <v>0</v>
      </c>
      <c r="Z60" s="11">
        <f>IF(Y60="", "", (Y60-TODAY()) * 50 - V60 * 10 - G60 * 5 + IF(W60="Red", -20, IF(W60="Yellow", -10, 0)) - IFERROR(INDEX(Analytics!$F$5:$F$20, MATCH(C60, Analytics!$A$5:$A$20, 0)) * 5, 0) + MOD(A60, 7))</f>
        <v>0</v>
      </c>
    </row>
    <row r="61" spans="1:26">
      <c r="A61" s="11">
        <v>60</v>
      </c>
      <c r="B61" s="4" t="s">
        <v>402</v>
      </c>
      <c r="C61" s="12" t="s">
        <v>91</v>
      </c>
      <c r="D61" s="12" t="s">
        <v>45</v>
      </c>
      <c r="E61" s="12" t="s">
        <v>35</v>
      </c>
      <c r="F61" s="11">
        <v>40</v>
      </c>
      <c r="G61" s="11">
        <v>8</v>
      </c>
      <c r="H61" s="12" t="s">
        <v>317</v>
      </c>
      <c r="I61" s="12" t="s">
        <v>150</v>
      </c>
      <c r="J61" s="4" t="s">
        <v>280</v>
      </c>
      <c r="K61" s="4" t="s">
        <v>283</v>
      </c>
      <c r="L61" s="12" t="s">
        <v>140</v>
      </c>
      <c r="M61" s="12" t="s">
        <v>140</v>
      </c>
      <c r="N61" s="4" t="s">
        <v>336</v>
      </c>
      <c r="O61" s="9" t="s">
        <v>304</v>
      </c>
      <c r="P61" s="9" t="s">
        <v>305</v>
      </c>
      <c r="Q61" s="9" t="s">
        <v>306</v>
      </c>
      <c r="R61" s="9" t="s">
        <v>307</v>
      </c>
      <c r="Y61" s="10">
        <f>IF(S61="", "", IF(W61="Green", S61+30, IF(W61="Yellow", S61+7, IF(W61="Red", S61+2, ""))))</f>
        <v>0</v>
      </c>
      <c r="Z61" s="11">
        <f>IF(Y61="", "", (Y61-TODAY()) * 50 - V61 * 10 - G61 * 5 + IF(W61="Red", -20, IF(W61="Yellow", -10, 0)) - IFERROR(INDEX(Analytics!$F$5:$F$20, MATCH(C61, Analytics!$A$5:$A$20, 0)) * 5, 0) + MOD(A61, 7))</f>
        <v>0</v>
      </c>
    </row>
    <row r="62" spans="1:26">
      <c r="A62" s="11">
        <v>61</v>
      </c>
      <c r="B62" s="4" t="s">
        <v>403</v>
      </c>
      <c r="C62" s="12" t="s">
        <v>91</v>
      </c>
      <c r="D62" s="12" t="s">
        <v>63</v>
      </c>
      <c r="E62" s="12" t="s">
        <v>35</v>
      </c>
      <c r="F62" s="11">
        <v>40</v>
      </c>
      <c r="G62" s="11">
        <v>9</v>
      </c>
      <c r="H62" s="12" t="s">
        <v>117</v>
      </c>
      <c r="I62" s="12" t="s">
        <v>117</v>
      </c>
      <c r="J62" s="4" t="s">
        <v>136</v>
      </c>
      <c r="K62" s="4" t="s">
        <v>139</v>
      </c>
      <c r="L62" s="12" t="s">
        <v>131</v>
      </c>
      <c r="M62" s="12" t="s">
        <v>140</v>
      </c>
      <c r="N62" s="4" t="s">
        <v>404</v>
      </c>
      <c r="O62" s="9" t="s">
        <v>304</v>
      </c>
      <c r="P62" s="9" t="s">
        <v>305</v>
      </c>
      <c r="Q62" s="9" t="s">
        <v>306</v>
      </c>
      <c r="R62" s="9" t="s">
        <v>307</v>
      </c>
      <c r="Y62" s="10">
        <f>IF(S62="", "", IF(W62="Green", S62+30, IF(W62="Yellow", S62+7, IF(W62="Red", S62+2, ""))))</f>
        <v>0</v>
      </c>
      <c r="Z62" s="11">
        <f>IF(Y62="", "", (Y62-TODAY()) * 50 - V62 * 10 - G62 * 5 + IF(W62="Red", -20, IF(W62="Yellow", -10, 0)) - IFERROR(INDEX(Analytics!$F$5:$F$20, MATCH(C62, Analytics!$A$5:$A$20, 0)) * 5, 0) + MOD(A62, 7))</f>
        <v>0</v>
      </c>
    </row>
    <row r="63" spans="1:26">
      <c r="A63" s="11">
        <v>62</v>
      </c>
      <c r="B63" s="4" t="s">
        <v>405</v>
      </c>
      <c r="C63" s="12" t="s">
        <v>91</v>
      </c>
      <c r="D63" s="12" t="s">
        <v>45</v>
      </c>
      <c r="E63" s="12" t="s">
        <v>35</v>
      </c>
      <c r="F63" s="11">
        <v>40</v>
      </c>
      <c r="G63" s="11">
        <v>9</v>
      </c>
      <c r="H63" s="12" t="s">
        <v>150</v>
      </c>
      <c r="I63" s="12" t="s">
        <v>117</v>
      </c>
      <c r="J63" s="4" t="s">
        <v>280</v>
      </c>
      <c r="K63" s="4" t="s">
        <v>283</v>
      </c>
      <c r="L63" s="12" t="s">
        <v>140</v>
      </c>
      <c r="M63" s="12" t="s">
        <v>140</v>
      </c>
      <c r="N63" s="4" t="s">
        <v>336</v>
      </c>
      <c r="O63" s="9" t="s">
        <v>304</v>
      </c>
      <c r="P63" s="9" t="s">
        <v>305</v>
      </c>
      <c r="Q63" s="9" t="s">
        <v>306</v>
      </c>
      <c r="R63" s="9" t="s">
        <v>307</v>
      </c>
      <c r="Y63" s="10">
        <f>IF(S63="", "", IF(W63="Green", S63+30, IF(W63="Yellow", S63+7, IF(W63="Red", S63+2, ""))))</f>
        <v>0</v>
      </c>
      <c r="Z63" s="11">
        <f>IF(Y63="", "", (Y63-TODAY()) * 50 - V63 * 10 - G63 * 5 + IF(W63="Red", -20, IF(W63="Yellow", -10, 0)) - IFERROR(INDEX(Analytics!$F$5:$F$20, MATCH(C63, Analytics!$A$5:$A$20, 0)) * 5, 0) + MOD(A63, 7))</f>
        <v>0</v>
      </c>
    </row>
    <row r="64" spans="1:26">
      <c r="A64" s="11">
        <v>63</v>
      </c>
      <c r="B64" s="4" t="s">
        <v>406</v>
      </c>
      <c r="C64" s="12" t="s">
        <v>91</v>
      </c>
      <c r="D64" s="12" t="s">
        <v>63</v>
      </c>
      <c r="E64" s="12" t="s">
        <v>34</v>
      </c>
      <c r="F64" s="11">
        <v>20</v>
      </c>
      <c r="G64" s="11">
        <v>8</v>
      </c>
      <c r="H64" s="12" t="s">
        <v>150</v>
      </c>
      <c r="I64" s="12" t="s">
        <v>150</v>
      </c>
      <c r="J64" s="4" t="s">
        <v>136</v>
      </c>
      <c r="K64" s="4" t="s">
        <v>139</v>
      </c>
      <c r="L64" s="12" t="s">
        <v>131</v>
      </c>
      <c r="M64" s="12" t="s">
        <v>140</v>
      </c>
      <c r="N64" s="4" t="s">
        <v>313</v>
      </c>
      <c r="O64" s="9" t="s">
        <v>304</v>
      </c>
      <c r="P64" s="9" t="s">
        <v>305</v>
      </c>
      <c r="Q64" s="9" t="s">
        <v>306</v>
      </c>
      <c r="R64" s="9" t="s">
        <v>307</v>
      </c>
      <c r="Y64" s="10">
        <f>IF(S64="", "", IF(W64="Green", S64+30, IF(W64="Yellow", S64+7, IF(W64="Red", S64+2, ""))))</f>
        <v>0</v>
      </c>
      <c r="Z64" s="11">
        <f>IF(Y64="", "", (Y64-TODAY()) * 50 - V64 * 10 - G64 * 5 + IF(W64="Red", -20, IF(W64="Yellow", -10, 0)) - IFERROR(INDEX(Analytics!$F$5:$F$20, MATCH(C64, Analytics!$A$5:$A$20, 0)) * 5, 0) + MOD(A64, 7))</f>
        <v>0</v>
      </c>
    </row>
    <row r="65" spans="1:26">
      <c r="A65" s="11">
        <v>64</v>
      </c>
      <c r="B65" s="4" t="s">
        <v>407</v>
      </c>
      <c r="C65" s="12" t="s">
        <v>91</v>
      </c>
      <c r="D65" s="12" t="s">
        <v>63</v>
      </c>
      <c r="E65" s="12" t="s">
        <v>35</v>
      </c>
      <c r="F65" s="11">
        <v>40</v>
      </c>
      <c r="G65" s="11">
        <v>10</v>
      </c>
      <c r="H65" s="12" t="s">
        <v>117</v>
      </c>
      <c r="I65" s="12" t="s">
        <v>117</v>
      </c>
      <c r="J65" s="4" t="s">
        <v>136</v>
      </c>
      <c r="K65" s="4" t="s">
        <v>139</v>
      </c>
      <c r="L65" s="12" t="s">
        <v>131</v>
      </c>
      <c r="M65" s="12" t="s">
        <v>140</v>
      </c>
      <c r="N65" s="4" t="s">
        <v>408</v>
      </c>
      <c r="O65" s="9" t="s">
        <v>304</v>
      </c>
      <c r="P65" s="9" t="s">
        <v>305</v>
      </c>
      <c r="Q65" s="9" t="s">
        <v>306</v>
      </c>
      <c r="R65" s="9" t="s">
        <v>307</v>
      </c>
      <c r="Y65" s="10">
        <f>IF(S65="", "", IF(W65="Green", S65+30, IF(W65="Yellow", S65+7, IF(W65="Red", S65+2, ""))))</f>
        <v>0</v>
      </c>
      <c r="Z65" s="11">
        <f>IF(Y65="", "", (Y65-TODAY()) * 50 - V65 * 10 - G65 * 5 + IF(W65="Red", -20, IF(W65="Yellow", -10, 0)) - IFERROR(INDEX(Analytics!$F$5:$F$20, MATCH(C65, Analytics!$A$5:$A$20, 0)) * 5, 0) + MOD(A65, 7))</f>
        <v>0</v>
      </c>
    </row>
    <row r="66" spans="1:26">
      <c r="A66" s="11">
        <v>65</v>
      </c>
      <c r="B66" s="4" t="s">
        <v>409</v>
      </c>
      <c r="C66" s="12" t="s">
        <v>91</v>
      </c>
      <c r="D66" s="12" t="s">
        <v>63</v>
      </c>
      <c r="E66" s="12" t="s">
        <v>35</v>
      </c>
      <c r="F66" s="11">
        <v>40</v>
      </c>
      <c r="G66" s="11">
        <v>9</v>
      </c>
      <c r="H66" s="12" t="s">
        <v>150</v>
      </c>
      <c r="I66" s="12" t="s">
        <v>117</v>
      </c>
      <c r="J66" s="4" t="s">
        <v>136</v>
      </c>
      <c r="K66" s="4" t="s">
        <v>139</v>
      </c>
      <c r="L66" s="12" t="s">
        <v>131</v>
      </c>
      <c r="M66" s="12" t="s">
        <v>140</v>
      </c>
      <c r="N66" s="4" t="s">
        <v>328</v>
      </c>
      <c r="O66" s="9" t="s">
        <v>304</v>
      </c>
      <c r="P66" s="9" t="s">
        <v>305</v>
      </c>
      <c r="Q66" s="9" t="s">
        <v>306</v>
      </c>
      <c r="R66" s="9" t="s">
        <v>307</v>
      </c>
      <c r="Y66" s="10">
        <f>IF(S66="", "", IF(W66="Green", S66+30, IF(W66="Yellow", S66+7, IF(W66="Red", S66+2, ""))))</f>
        <v>0</v>
      </c>
      <c r="Z66" s="11">
        <f>IF(Y66="", "", (Y66-TODAY()) * 50 - V66 * 10 - G66 * 5 + IF(W66="Red", -20, IF(W66="Yellow", -10, 0)) - IFERROR(INDEX(Analytics!$F$5:$F$20, MATCH(C66, Analytics!$A$5:$A$20, 0)) * 5, 0) + MOD(A66, 7))</f>
        <v>0</v>
      </c>
    </row>
    <row r="67" spans="1:26">
      <c r="A67" s="11">
        <v>66</v>
      </c>
      <c r="B67" s="4" t="s">
        <v>410</v>
      </c>
      <c r="C67" s="12" t="s">
        <v>91</v>
      </c>
      <c r="D67" s="12" t="s">
        <v>55</v>
      </c>
      <c r="E67" s="12" t="s">
        <v>34</v>
      </c>
      <c r="F67" s="11">
        <v>20</v>
      </c>
      <c r="G67" s="11">
        <v>10</v>
      </c>
      <c r="H67" s="12" t="s">
        <v>117</v>
      </c>
      <c r="I67" s="12" t="s">
        <v>117</v>
      </c>
      <c r="J67" s="4" t="s">
        <v>186</v>
      </c>
      <c r="K67" s="4" t="s">
        <v>189</v>
      </c>
      <c r="L67" s="12" t="s">
        <v>131</v>
      </c>
      <c r="M67" s="12" t="s">
        <v>131</v>
      </c>
      <c r="N67" s="4" t="s">
        <v>411</v>
      </c>
      <c r="O67" s="9" t="s">
        <v>304</v>
      </c>
      <c r="P67" s="9" t="s">
        <v>305</v>
      </c>
      <c r="Q67" s="9" t="s">
        <v>306</v>
      </c>
      <c r="R67" s="9" t="s">
        <v>307</v>
      </c>
      <c r="Y67" s="10">
        <f>IF(S67="", "", IF(W67="Green", S67+30, IF(W67="Yellow", S67+7, IF(W67="Red", S67+2, ""))))</f>
        <v>0</v>
      </c>
      <c r="Z67" s="11">
        <f>IF(Y67="", "", (Y67-TODAY()) * 50 - V67 * 10 - G67 * 5 + IF(W67="Red", -20, IF(W67="Yellow", -10, 0)) - IFERROR(INDEX(Analytics!$F$5:$F$20, MATCH(C67, Analytics!$A$5:$A$20, 0)) * 5, 0) + MOD(A67, 7))</f>
        <v>0</v>
      </c>
    </row>
    <row r="68" spans="1:26">
      <c r="A68" s="11">
        <v>67</v>
      </c>
      <c r="B68" s="4" t="s">
        <v>412</v>
      </c>
      <c r="C68" s="12" t="s">
        <v>91</v>
      </c>
      <c r="D68" s="12" t="s">
        <v>42</v>
      </c>
      <c r="E68" s="12" t="s">
        <v>35</v>
      </c>
      <c r="F68" s="11">
        <v>40</v>
      </c>
      <c r="G68" s="11">
        <v>9</v>
      </c>
      <c r="H68" s="12" t="s">
        <v>117</v>
      </c>
      <c r="I68" s="12" t="s">
        <v>117</v>
      </c>
      <c r="J68" s="4" t="s">
        <v>264</v>
      </c>
      <c r="K68" s="4" t="s">
        <v>267</v>
      </c>
      <c r="L68" s="12" t="s">
        <v>268</v>
      </c>
      <c r="M68" s="12" t="s">
        <v>269</v>
      </c>
      <c r="N68" s="4" t="s">
        <v>324</v>
      </c>
      <c r="O68" s="9" t="s">
        <v>304</v>
      </c>
      <c r="P68" s="9" t="s">
        <v>305</v>
      </c>
      <c r="Q68" s="9" t="s">
        <v>306</v>
      </c>
      <c r="R68" s="9" t="s">
        <v>307</v>
      </c>
      <c r="Y68" s="10">
        <f>IF(S68="", "", IF(W68="Green", S68+30, IF(W68="Yellow", S68+7, IF(W68="Red", S68+2, ""))))</f>
        <v>0</v>
      </c>
      <c r="Z68" s="11">
        <f>IF(Y68="", "", (Y68-TODAY()) * 50 - V68 * 10 - G68 * 5 + IF(W68="Red", -20, IF(W68="Yellow", -10, 0)) - IFERROR(INDEX(Analytics!$F$5:$F$20, MATCH(C68, Analytics!$A$5:$A$20, 0)) * 5, 0) + MOD(A68, 7))</f>
        <v>0</v>
      </c>
    </row>
    <row r="69" spans="1:26">
      <c r="A69" s="11">
        <v>68</v>
      </c>
      <c r="B69" s="4" t="s">
        <v>413</v>
      </c>
      <c r="C69" s="12" t="s">
        <v>91</v>
      </c>
      <c r="D69" s="12" t="s">
        <v>42</v>
      </c>
      <c r="E69" s="12" t="s">
        <v>35</v>
      </c>
      <c r="F69" s="11">
        <v>40</v>
      </c>
      <c r="G69" s="11">
        <v>9</v>
      </c>
      <c r="H69" s="12" t="s">
        <v>117</v>
      </c>
      <c r="I69" s="12" t="s">
        <v>117</v>
      </c>
      <c r="J69" s="4" t="s">
        <v>264</v>
      </c>
      <c r="K69" s="4" t="s">
        <v>267</v>
      </c>
      <c r="L69" s="12" t="s">
        <v>268</v>
      </c>
      <c r="M69" s="12" t="s">
        <v>269</v>
      </c>
      <c r="N69" s="4" t="s">
        <v>336</v>
      </c>
      <c r="O69" s="9" t="s">
        <v>304</v>
      </c>
      <c r="P69" s="9" t="s">
        <v>305</v>
      </c>
      <c r="Q69" s="9" t="s">
        <v>306</v>
      </c>
      <c r="R69" s="9" t="s">
        <v>307</v>
      </c>
      <c r="Y69" s="10">
        <f>IF(S69="", "", IF(W69="Green", S69+30, IF(W69="Yellow", S69+7, IF(W69="Red", S69+2, ""))))</f>
        <v>0</v>
      </c>
      <c r="Z69" s="11">
        <f>IF(Y69="", "", (Y69-TODAY()) * 50 - V69 * 10 - G69 * 5 + IF(W69="Red", -20, IF(W69="Yellow", -10, 0)) - IFERROR(INDEX(Analytics!$F$5:$F$20, MATCH(C69, Analytics!$A$5:$A$20, 0)) * 5, 0) + MOD(A69, 7))</f>
        <v>0</v>
      </c>
    </row>
    <row r="70" spans="1:26">
      <c r="A70" s="11">
        <v>69</v>
      </c>
      <c r="B70" s="4" t="s">
        <v>414</v>
      </c>
      <c r="C70" s="12" t="s">
        <v>91</v>
      </c>
      <c r="D70" s="12" t="s">
        <v>63</v>
      </c>
      <c r="E70" s="12" t="s">
        <v>35</v>
      </c>
      <c r="F70" s="11">
        <v>40</v>
      </c>
      <c r="G70" s="11">
        <v>8</v>
      </c>
      <c r="H70" s="12" t="s">
        <v>317</v>
      </c>
      <c r="I70" s="12" t="s">
        <v>150</v>
      </c>
      <c r="J70" s="4" t="s">
        <v>136</v>
      </c>
      <c r="K70" s="4" t="s">
        <v>139</v>
      </c>
      <c r="L70" s="12" t="s">
        <v>131</v>
      </c>
      <c r="M70" s="12" t="s">
        <v>140</v>
      </c>
      <c r="N70" s="4" t="s">
        <v>324</v>
      </c>
      <c r="O70" s="9" t="s">
        <v>304</v>
      </c>
      <c r="P70" s="9" t="s">
        <v>305</v>
      </c>
      <c r="Q70" s="9" t="s">
        <v>306</v>
      </c>
      <c r="R70" s="9" t="s">
        <v>307</v>
      </c>
      <c r="Y70" s="10">
        <f>IF(S70="", "", IF(W70="Green", S70+30, IF(W70="Yellow", S70+7, IF(W70="Red", S70+2, ""))))</f>
        <v>0</v>
      </c>
      <c r="Z70" s="11">
        <f>IF(Y70="", "", (Y70-TODAY()) * 50 - V70 * 10 - G70 * 5 + IF(W70="Red", -20, IF(W70="Yellow", -10, 0)) - IFERROR(INDEX(Analytics!$F$5:$F$20, MATCH(C70, Analytics!$A$5:$A$20, 0)) * 5, 0) + MOD(A70, 7))</f>
        <v>0</v>
      </c>
    </row>
    <row r="71" spans="1:26">
      <c r="A71" s="11">
        <v>70</v>
      </c>
      <c r="B71" s="4" t="s">
        <v>415</v>
      </c>
      <c r="C71" s="12" t="s">
        <v>91</v>
      </c>
      <c r="D71" s="12" t="s">
        <v>55</v>
      </c>
      <c r="E71" s="12" t="s">
        <v>35</v>
      </c>
      <c r="F71" s="11">
        <v>40</v>
      </c>
      <c r="G71" s="11">
        <v>8</v>
      </c>
      <c r="H71" s="12" t="s">
        <v>317</v>
      </c>
      <c r="I71" s="12" t="s">
        <v>150</v>
      </c>
      <c r="J71" s="4" t="s">
        <v>186</v>
      </c>
      <c r="K71" s="4" t="s">
        <v>189</v>
      </c>
      <c r="L71" s="12" t="s">
        <v>131</v>
      </c>
      <c r="M71" s="12" t="s">
        <v>131</v>
      </c>
      <c r="N71" s="4" t="s">
        <v>336</v>
      </c>
      <c r="O71" s="9" t="s">
        <v>304</v>
      </c>
      <c r="P71" s="9" t="s">
        <v>305</v>
      </c>
      <c r="Q71" s="9" t="s">
        <v>306</v>
      </c>
      <c r="R71" s="9" t="s">
        <v>307</v>
      </c>
      <c r="Y71" s="10">
        <f>IF(S71="", "", IF(W71="Green", S71+30, IF(W71="Yellow", S71+7, IF(W71="Red", S71+2, ""))))</f>
        <v>0</v>
      </c>
      <c r="Z71" s="11">
        <f>IF(Y71="", "", (Y71-TODAY()) * 50 - V71 * 10 - G71 * 5 + IF(W71="Red", -20, IF(W71="Yellow", -10, 0)) - IFERROR(INDEX(Analytics!$F$5:$F$20, MATCH(C71, Analytics!$A$5:$A$20, 0)) * 5, 0) + MOD(A71, 7))</f>
        <v>0</v>
      </c>
    </row>
    <row r="72" spans="1:26">
      <c r="A72" s="11">
        <v>71</v>
      </c>
      <c r="B72" s="4" t="s">
        <v>416</v>
      </c>
      <c r="C72" s="12" t="s">
        <v>91</v>
      </c>
      <c r="D72" s="12" t="s">
        <v>59</v>
      </c>
      <c r="E72" s="12" t="s">
        <v>35</v>
      </c>
      <c r="F72" s="11">
        <v>40</v>
      </c>
      <c r="G72" s="11">
        <v>10</v>
      </c>
      <c r="H72" s="12" t="s">
        <v>117</v>
      </c>
      <c r="I72" s="12" t="s">
        <v>117</v>
      </c>
      <c r="J72" s="4" t="s">
        <v>127</v>
      </c>
      <c r="K72" s="4" t="s">
        <v>130</v>
      </c>
      <c r="L72" s="12" t="s">
        <v>131</v>
      </c>
      <c r="M72" s="12" t="s">
        <v>132</v>
      </c>
      <c r="N72" s="4" t="s">
        <v>344</v>
      </c>
      <c r="O72" s="9" t="s">
        <v>304</v>
      </c>
      <c r="P72" s="9" t="s">
        <v>305</v>
      </c>
      <c r="Q72" s="9" t="s">
        <v>306</v>
      </c>
      <c r="R72" s="9" t="s">
        <v>307</v>
      </c>
      <c r="Y72" s="10">
        <f>IF(S72="", "", IF(W72="Green", S72+30, IF(W72="Yellow", S72+7, IF(W72="Red", S72+2, ""))))</f>
        <v>0</v>
      </c>
      <c r="Z72" s="11">
        <f>IF(Y72="", "", (Y72-TODAY()) * 50 - V72 * 10 - G72 * 5 + IF(W72="Red", -20, IF(W72="Yellow", -10, 0)) - IFERROR(INDEX(Analytics!$F$5:$F$20, MATCH(C72, Analytics!$A$5:$A$20, 0)) * 5, 0) + MOD(A72, 7))</f>
        <v>0</v>
      </c>
    </row>
    <row r="73" spans="1:26">
      <c r="A73" s="11">
        <v>72</v>
      </c>
      <c r="B73" s="4" t="s">
        <v>417</v>
      </c>
      <c r="C73" s="12" t="s">
        <v>91</v>
      </c>
      <c r="D73" s="12" t="s">
        <v>45</v>
      </c>
      <c r="E73" s="12" t="s">
        <v>35</v>
      </c>
      <c r="F73" s="11">
        <v>40</v>
      </c>
      <c r="G73" s="11">
        <v>8</v>
      </c>
      <c r="H73" s="12" t="s">
        <v>317</v>
      </c>
      <c r="I73" s="12" t="s">
        <v>150</v>
      </c>
      <c r="J73" s="4" t="s">
        <v>280</v>
      </c>
      <c r="K73" s="4" t="s">
        <v>283</v>
      </c>
      <c r="L73" s="12" t="s">
        <v>140</v>
      </c>
      <c r="M73" s="12" t="s">
        <v>140</v>
      </c>
      <c r="N73" s="4" t="s">
        <v>386</v>
      </c>
      <c r="O73" s="9" t="s">
        <v>304</v>
      </c>
      <c r="P73" s="9" t="s">
        <v>305</v>
      </c>
      <c r="Q73" s="9" t="s">
        <v>306</v>
      </c>
      <c r="R73" s="9" t="s">
        <v>307</v>
      </c>
      <c r="Y73" s="10">
        <f>IF(S73="", "", IF(W73="Green", S73+30, IF(W73="Yellow", S73+7, IF(W73="Red", S73+2, ""))))</f>
        <v>0</v>
      </c>
      <c r="Z73" s="11">
        <f>IF(Y73="", "", (Y73-TODAY()) * 50 - V73 * 10 - G73 * 5 + IF(W73="Red", -20, IF(W73="Yellow", -10, 0)) - IFERROR(INDEX(Analytics!$F$5:$F$20, MATCH(C73, Analytics!$A$5:$A$20, 0)) * 5, 0) + MOD(A73, 7))</f>
        <v>0</v>
      </c>
    </row>
    <row r="74" spans="1:26">
      <c r="A74" s="11">
        <v>73</v>
      </c>
      <c r="B74" s="4" t="s">
        <v>418</v>
      </c>
      <c r="C74" s="12" t="s">
        <v>91</v>
      </c>
      <c r="D74" s="12" t="s">
        <v>55</v>
      </c>
      <c r="E74" s="12" t="s">
        <v>35</v>
      </c>
      <c r="F74" s="11">
        <v>40</v>
      </c>
      <c r="G74" s="11">
        <v>7</v>
      </c>
      <c r="H74" s="12" t="s">
        <v>317</v>
      </c>
      <c r="I74" s="12" t="s">
        <v>150</v>
      </c>
      <c r="J74" s="4" t="s">
        <v>186</v>
      </c>
      <c r="K74" s="4" t="s">
        <v>189</v>
      </c>
      <c r="L74" s="12" t="s">
        <v>131</v>
      </c>
      <c r="M74" s="12" t="s">
        <v>131</v>
      </c>
      <c r="N74" s="4" t="s">
        <v>70</v>
      </c>
      <c r="O74" s="9" t="s">
        <v>304</v>
      </c>
      <c r="P74" s="9" t="s">
        <v>305</v>
      </c>
      <c r="Q74" s="9" t="s">
        <v>306</v>
      </c>
      <c r="R74" s="9" t="s">
        <v>307</v>
      </c>
      <c r="Y74" s="10">
        <f>IF(S74="", "", IF(W74="Green", S74+30, IF(W74="Yellow", S74+7, IF(W74="Red", S74+2, ""))))</f>
        <v>0</v>
      </c>
      <c r="Z74" s="11">
        <f>IF(Y74="", "", (Y74-TODAY()) * 50 - V74 * 10 - G74 * 5 + IF(W74="Red", -20, IF(W74="Yellow", -10, 0)) - IFERROR(INDEX(Analytics!$F$5:$F$20, MATCH(C74, Analytics!$A$5:$A$20, 0)) * 5, 0) + MOD(A74, 7))</f>
        <v>0</v>
      </c>
    </row>
    <row r="75" spans="1:26">
      <c r="A75" s="11">
        <v>74</v>
      </c>
      <c r="B75" s="4" t="s">
        <v>419</v>
      </c>
      <c r="C75" s="12" t="s">
        <v>91</v>
      </c>
      <c r="D75" s="12" t="s">
        <v>59</v>
      </c>
      <c r="E75" s="12" t="s">
        <v>36</v>
      </c>
      <c r="F75" s="11">
        <v>60</v>
      </c>
      <c r="G75" s="11">
        <v>9</v>
      </c>
      <c r="H75" s="12" t="s">
        <v>117</v>
      </c>
      <c r="I75" s="12" t="s">
        <v>117</v>
      </c>
      <c r="J75" s="4" t="s">
        <v>127</v>
      </c>
      <c r="K75" s="4" t="s">
        <v>130</v>
      </c>
      <c r="L75" s="12" t="s">
        <v>131</v>
      </c>
      <c r="M75" s="12" t="s">
        <v>132</v>
      </c>
      <c r="N75" s="4" t="s">
        <v>336</v>
      </c>
      <c r="O75" s="9" t="s">
        <v>304</v>
      </c>
      <c r="P75" s="9" t="s">
        <v>305</v>
      </c>
      <c r="Q75" s="9" t="s">
        <v>306</v>
      </c>
      <c r="R75" s="9" t="s">
        <v>307</v>
      </c>
      <c r="Y75" s="10">
        <f>IF(S75="", "", IF(W75="Green", S75+30, IF(W75="Yellow", S75+7, IF(W75="Red", S75+2, ""))))</f>
        <v>0</v>
      </c>
      <c r="Z75" s="11">
        <f>IF(Y75="", "", (Y75-TODAY()) * 50 - V75 * 10 - G75 * 5 + IF(W75="Red", -20, IF(W75="Yellow", -10, 0)) - IFERROR(INDEX(Analytics!$F$5:$F$20, MATCH(C75, Analytics!$A$5:$A$20, 0)) * 5, 0) + MOD(A75, 7))</f>
        <v>0</v>
      </c>
    </row>
    <row r="76" spans="1:26">
      <c r="A76" s="11">
        <v>75</v>
      </c>
      <c r="B76" s="4" t="s">
        <v>420</v>
      </c>
      <c r="C76" s="12" t="s">
        <v>91</v>
      </c>
      <c r="D76" s="12" t="s">
        <v>59</v>
      </c>
      <c r="E76" s="12" t="s">
        <v>35</v>
      </c>
      <c r="F76" s="11">
        <v>40</v>
      </c>
      <c r="G76" s="11">
        <v>8</v>
      </c>
      <c r="H76" s="12" t="s">
        <v>317</v>
      </c>
      <c r="I76" s="12" t="s">
        <v>150</v>
      </c>
      <c r="J76" s="4" t="s">
        <v>127</v>
      </c>
      <c r="K76" s="4" t="s">
        <v>130</v>
      </c>
      <c r="L76" s="12" t="s">
        <v>131</v>
      </c>
      <c r="M76" s="12" t="s">
        <v>132</v>
      </c>
      <c r="N76" s="4" t="s">
        <v>75</v>
      </c>
      <c r="O76" s="9" t="s">
        <v>304</v>
      </c>
      <c r="P76" s="9" t="s">
        <v>305</v>
      </c>
      <c r="Q76" s="9" t="s">
        <v>306</v>
      </c>
      <c r="R76" s="9" t="s">
        <v>307</v>
      </c>
      <c r="Y76" s="10">
        <f>IF(S76="", "", IF(W76="Green", S76+30, IF(W76="Yellow", S76+7, IF(W76="Red", S76+2, ""))))</f>
        <v>0</v>
      </c>
      <c r="Z76" s="11">
        <f>IF(Y76="", "", (Y76-TODAY()) * 50 - V76 * 10 - G76 * 5 + IF(W76="Red", -20, IF(W76="Yellow", -10, 0)) - IFERROR(INDEX(Analytics!$F$5:$F$20, MATCH(C76, Analytics!$A$5:$A$20, 0)) * 5, 0) + MOD(A76, 7))</f>
        <v>0</v>
      </c>
    </row>
    <row r="77" spans="1:26">
      <c r="A77" s="11">
        <v>76</v>
      </c>
      <c r="B77" s="4" t="s">
        <v>43</v>
      </c>
      <c r="C77" s="12" t="s">
        <v>43</v>
      </c>
      <c r="D77" s="12" t="s">
        <v>43</v>
      </c>
      <c r="E77" s="12" t="s">
        <v>34</v>
      </c>
      <c r="F77" s="11">
        <v>20</v>
      </c>
      <c r="G77" s="11">
        <v>10</v>
      </c>
      <c r="H77" s="12" t="s">
        <v>117</v>
      </c>
      <c r="I77" s="12" t="s">
        <v>117</v>
      </c>
      <c r="J77" s="4" t="s">
        <v>157</v>
      </c>
      <c r="K77" s="4" t="s">
        <v>160</v>
      </c>
      <c r="L77" s="12" t="s">
        <v>161</v>
      </c>
      <c r="M77" s="12" t="s">
        <v>140</v>
      </c>
      <c r="N77" s="4" t="s">
        <v>421</v>
      </c>
      <c r="O77" s="9" t="s">
        <v>304</v>
      </c>
      <c r="P77" s="9" t="s">
        <v>305</v>
      </c>
      <c r="Q77" s="9" t="s">
        <v>306</v>
      </c>
      <c r="R77" s="9" t="s">
        <v>307</v>
      </c>
      <c r="Y77" s="10">
        <f>IF(S77="", "", IF(W77="Green", S77+30, IF(W77="Yellow", S77+7, IF(W77="Red", S77+2, ""))))</f>
        <v>0</v>
      </c>
      <c r="Z77" s="11">
        <f>IF(Y77="", "", (Y77-TODAY()) * 50 - V77 * 10 - G77 * 5 + IF(W77="Red", -20, IF(W77="Yellow", -10, 0)) - IFERROR(INDEX(Analytics!$F$5:$F$20, MATCH(C77, Analytics!$A$5:$A$20, 0)) * 5, 0) + MOD(A77, 7))</f>
        <v>0</v>
      </c>
    </row>
    <row r="78" spans="1:26">
      <c r="A78" s="11">
        <v>77</v>
      </c>
      <c r="B78" s="4" t="s">
        <v>422</v>
      </c>
      <c r="C78" s="12" t="s">
        <v>43</v>
      </c>
      <c r="D78" s="12" t="s">
        <v>43</v>
      </c>
      <c r="E78" s="12" t="s">
        <v>34</v>
      </c>
      <c r="F78" s="11">
        <v>20</v>
      </c>
      <c r="G78" s="11">
        <v>9</v>
      </c>
      <c r="H78" s="12" t="s">
        <v>150</v>
      </c>
      <c r="I78" s="12" t="s">
        <v>117</v>
      </c>
      <c r="J78" s="4" t="s">
        <v>157</v>
      </c>
      <c r="K78" s="4" t="s">
        <v>160</v>
      </c>
      <c r="L78" s="12" t="s">
        <v>161</v>
      </c>
      <c r="M78" s="12" t="s">
        <v>140</v>
      </c>
      <c r="N78" s="4" t="s">
        <v>423</v>
      </c>
      <c r="O78" s="9" t="s">
        <v>304</v>
      </c>
      <c r="P78" s="9" t="s">
        <v>305</v>
      </c>
      <c r="Q78" s="9" t="s">
        <v>306</v>
      </c>
      <c r="R78" s="9" t="s">
        <v>307</v>
      </c>
      <c r="Y78" s="10">
        <f>IF(S78="", "", IF(W78="Green", S78+30, IF(W78="Yellow", S78+7, IF(W78="Red", S78+2, ""))))</f>
        <v>0</v>
      </c>
      <c r="Z78" s="11">
        <f>IF(Y78="", "", (Y78-TODAY()) * 50 - V78 * 10 - G78 * 5 + IF(W78="Red", -20, IF(W78="Yellow", -10, 0)) - IFERROR(INDEX(Analytics!$F$5:$F$20, MATCH(C78, Analytics!$A$5:$A$20, 0)) * 5, 0) + MOD(A78, 7))</f>
        <v>0</v>
      </c>
    </row>
    <row r="79" spans="1:26">
      <c r="A79" s="11">
        <v>78</v>
      </c>
      <c r="B79" s="4" t="s">
        <v>424</v>
      </c>
      <c r="C79" s="12" t="s">
        <v>43</v>
      </c>
      <c r="D79" s="12" t="s">
        <v>43</v>
      </c>
      <c r="E79" s="12" t="s">
        <v>35</v>
      </c>
      <c r="F79" s="11">
        <v>40</v>
      </c>
      <c r="G79" s="11">
        <v>10</v>
      </c>
      <c r="H79" s="12" t="s">
        <v>117</v>
      </c>
      <c r="I79" s="12" t="s">
        <v>117</v>
      </c>
      <c r="J79" s="4" t="s">
        <v>157</v>
      </c>
      <c r="K79" s="4" t="s">
        <v>160</v>
      </c>
      <c r="L79" s="12" t="s">
        <v>161</v>
      </c>
      <c r="M79" s="12" t="s">
        <v>140</v>
      </c>
      <c r="N79" s="4" t="s">
        <v>404</v>
      </c>
      <c r="O79" s="9" t="s">
        <v>304</v>
      </c>
      <c r="P79" s="9" t="s">
        <v>305</v>
      </c>
      <c r="Q79" s="9" t="s">
        <v>306</v>
      </c>
      <c r="R79" s="9" t="s">
        <v>307</v>
      </c>
      <c r="Y79" s="10">
        <f>IF(S79="", "", IF(W79="Green", S79+30, IF(W79="Yellow", S79+7, IF(W79="Red", S79+2, ""))))</f>
        <v>0</v>
      </c>
      <c r="Z79" s="11">
        <f>IF(Y79="", "", (Y79-TODAY()) * 50 - V79 * 10 - G79 * 5 + IF(W79="Red", -20, IF(W79="Yellow", -10, 0)) - IFERROR(INDEX(Analytics!$F$5:$F$20, MATCH(C79, Analytics!$A$5:$A$20, 0)) * 5, 0) + MOD(A79, 7))</f>
        <v>0</v>
      </c>
    </row>
    <row r="80" spans="1:26">
      <c r="A80" s="11">
        <v>79</v>
      </c>
      <c r="B80" s="4" t="s">
        <v>425</v>
      </c>
      <c r="C80" s="12" t="s">
        <v>43</v>
      </c>
      <c r="D80" s="12" t="s">
        <v>43</v>
      </c>
      <c r="E80" s="12" t="s">
        <v>35</v>
      </c>
      <c r="F80" s="11">
        <v>40</v>
      </c>
      <c r="G80" s="11">
        <v>10</v>
      </c>
      <c r="H80" s="12" t="s">
        <v>117</v>
      </c>
      <c r="I80" s="12" t="s">
        <v>117</v>
      </c>
      <c r="J80" s="4" t="s">
        <v>157</v>
      </c>
      <c r="K80" s="4" t="s">
        <v>160</v>
      </c>
      <c r="L80" s="12" t="s">
        <v>161</v>
      </c>
      <c r="M80" s="12" t="s">
        <v>140</v>
      </c>
      <c r="N80" s="4" t="s">
        <v>408</v>
      </c>
      <c r="O80" s="9" t="s">
        <v>304</v>
      </c>
      <c r="P80" s="9" t="s">
        <v>305</v>
      </c>
      <c r="Q80" s="9" t="s">
        <v>306</v>
      </c>
      <c r="R80" s="9" t="s">
        <v>307</v>
      </c>
      <c r="Y80" s="10">
        <f>IF(S80="", "", IF(W80="Green", S80+30, IF(W80="Yellow", S80+7, IF(W80="Red", S80+2, ""))))</f>
        <v>0</v>
      </c>
      <c r="Z80" s="11">
        <f>IF(Y80="", "", (Y80-TODAY()) * 50 - V80 * 10 - G80 * 5 + IF(W80="Red", -20, IF(W80="Yellow", -10, 0)) - IFERROR(INDEX(Analytics!$F$5:$F$20, MATCH(C80, Analytics!$A$5:$A$20, 0)) * 5, 0) + MOD(A80, 7))</f>
        <v>0</v>
      </c>
    </row>
    <row r="81" spans="1:26">
      <c r="A81" s="11">
        <v>80</v>
      </c>
      <c r="B81" s="4" t="s">
        <v>426</v>
      </c>
      <c r="C81" s="12" t="s">
        <v>43</v>
      </c>
      <c r="D81" s="12" t="s">
        <v>43</v>
      </c>
      <c r="E81" s="12" t="s">
        <v>35</v>
      </c>
      <c r="F81" s="11">
        <v>40</v>
      </c>
      <c r="G81" s="11">
        <v>8</v>
      </c>
      <c r="H81" s="12" t="s">
        <v>150</v>
      </c>
      <c r="I81" s="12" t="s">
        <v>150</v>
      </c>
      <c r="J81" s="4" t="s">
        <v>157</v>
      </c>
      <c r="K81" s="4" t="s">
        <v>160</v>
      </c>
      <c r="L81" s="12" t="s">
        <v>161</v>
      </c>
      <c r="M81" s="12" t="s">
        <v>140</v>
      </c>
      <c r="N81" s="4" t="s">
        <v>338</v>
      </c>
      <c r="O81" s="9" t="s">
        <v>304</v>
      </c>
      <c r="P81" s="9" t="s">
        <v>305</v>
      </c>
      <c r="Q81" s="9" t="s">
        <v>306</v>
      </c>
      <c r="R81" s="9" t="s">
        <v>307</v>
      </c>
      <c r="Y81" s="10">
        <f>IF(S81="", "", IF(W81="Green", S81+30, IF(W81="Yellow", S81+7, IF(W81="Red", S81+2, ""))))</f>
        <v>0</v>
      </c>
      <c r="Z81" s="11">
        <f>IF(Y81="", "", (Y81-TODAY()) * 50 - V81 * 10 - G81 * 5 + IF(W81="Red", -20, IF(W81="Yellow", -10, 0)) - IFERROR(INDEX(Analytics!$F$5:$F$20, MATCH(C81, Analytics!$A$5:$A$20, 0)) * 5, 0) + MOD(A81, 7))</f>
        <v>0</v>
      </c>
    </row>
    <row r="82" spans="1:26">
      <c r="A82" s="11">
        <v>81</v>
      </c>
      <c r="B82" s="4" t="s">
        <v>427</v>
      </c>
      <c r="C82" s="12" t="s">
        <v>43</v>
      </c>
      <c r="D82" s="12" t="s">
        <v>43</v>
      </c>
      <c r="E82" s="12" t="s">
        <v>35</v>
      </c>
      <c r="F82" s="11">
        <v>40</v>
      </c>
      <c r="G82" s="11">
        <v>9</v>
      </c>
      <c r="H82" s="12" t="s">
        <v>117</v>
      </c>
      <c r="I82" s="12" t="s">
        <v>117</v>
      </c>
      <c r="J82" s="4" t="s">
        <v>157</v>
      </c>
      <c r="K82" s="4" t="s">
        <v>160</v>
      </c>
      <c r="L82" s="12" t="s">
        <v>161</v>
      </c>
      <c r="M82" s="12" t="s">
        <v>140</v>
      </c>
      <c r="N82" s="4" t="s">
        <v>428</v>
      </c>
      <c r="O82" s="9" t="s">
        <v>304</v>
      </c>
      <c r="P82" s="9" t="s">
        <v>305</v>
      </c>
      <c r="Q82" s="9" t="s">
        <v>306</v>
      </c>
      <c r="R82" s="9" t="s">
        <v>307</v>
      </c>
      <c r="Y82" s="10">
        <f>IF(S82="", "", IF(W82="Green", S82+30, IF(W82="Yellow", S82+7, IF(W82="Red", S82+2, ""))))</f>
        <v>0</v>
      </c>
      <c r="Z82" s="11">
        <f>IF(Y82="", "", (Y82-TODAY()) * 50 - V82 * 10 - G82 * 5 + IF(W82="Red", -20, IF(W82="Yellow", -10, 0)) - IFERROR(INDEX(Analytics!$F$5:$F$20, MATCH(C82, Analytics!$A$5:$A$20, 0)) * 5, 0) + MOD(A82, 7))</f>
        <v>0</v>
      </c>
    </row>
    <row r="83" spans="1:26">
      <c r="A83" s="11">
        <v>82</v>
      </c>
      <c r="B83" s="4" t="s">
        <v>429</v>
      </c>
      <c r="C83" s="12" t="s">
        <v>43</v>
      </c>
      <c r="D83" s="12" t="s">
        <v>43</v>
      </c>
      <c r="E83" s="12" t="s">
        <v>35</v>
      </c>
      <c r="F83" s="11">
        <v>40</v>
      </c>
      <c r="G83" s="11">
        <v>9</v>
      </c>
      <c r="H83" s="12" t="s">
        <v>117</v>
      </c>
      <c r="I83" s="12" t="s">
        <v>117</v>
      </c>
      <c r="J83" s="4" t="s">
        <v>157</v>
      </c>
      <c r="K83" s="4" t="s">
        <v>160</v>
      </c>
      <c r="L83" s="12" t="s">
        <v>161</v>
      </c>
      <c r="M83" s="12" t="s">
        <v>140</v>
      </c>
      <c r="N83" s="4" t="s">
        <v>430</v>
      </c>
      <c r="O83" s="9" t="s">
        <v>304</v>
      </c>
      <c r="P83" s="9" t="s">
        <v>305</v>
      </c>
      <c r="Q83" s="9" t="s">
        <v>306</v>
      </c>
      <c r="R83" s="9" t="s">
        <v>307</v>
      </c>
      <c r="Y83" s="10">
        <f>IF(S83="", "", IF(W83="Green", S83+30, IF(W83="Yellow", S83+7, IF(W83="Red", S83+2, ""))))</f>
        <v>0</v>
      </c>
      <c r="Z83" s="11">
        <f>IF(Y83="", "", (Y83-TODAY()) * 50 - V83 * 10 - G83 * 5 + IF(W83="Red", -20, IF(W83="Yellow", -10, 0)) - IFERROR(INDEX(Analytics!$F$5:$F$20, MATCH(C83, Analytics!$A$5:$A$20, 0)) * 5, 0) + MOD(A83, 7))</f>
        <v>0</v>
      </c>
    </row>
    <row r="84" spans="1:26">
      <c r="A84" s="11">
        <v>83</v>
      </c>
      <c r="B84" s="4" t="s">
        <v>431</v>
      </c>
      <c r="C84" s="12" t="s">
        <v>43</v>
      </c>
      <c r="D84" s="12" t="s">
        <v>43</v>
      </c>
      <c r="E84" s="12" t="s">
        <v>35</v>
      </c>
      <c r="F84" s="11">
        <v>40</v>
      </c>
      <c r="G84" s="11">
        <v>9</v>
      </c>
      <c r="H84" s="12" t="s">
        <v>117</v>
      </c>
      <c r="I84" s="12" t="s">
        <v>117</v>
      </c>
      <c r="J84" s="4" t="s">
        <v>157</v>
      </c>
      <c r="K84" s="4" t="s">
        <v>160</v>
      </c>
      <c r="L84" s="12" t="s">
        <v>161</v>
      </c>
      <c r="M84" s="12" t="s">
        <v>140</v>
      </c>
      <c r="N84" s="4" t="s">
        <v>336</v>
      </c>
      <c r="O84" s="9" t="s">
        <v>304</v>
      </c>
      <c r="P84" s="9" t="s">
        <v>305</v>
      </c>
      <c r="Q84" s="9" t="s">
        <v>306</v>
      </c>
      <c r="R84" s="9" t="s">
        <v>307</v>
      </c>
      <c r="Y84" s="10">
        <f>IF(S84="", "", IF(W84="Green", S84+30, IF(W84="Yellow", S84+7, IF(W84="Red", S84+2, ""))))</f>
        <v>0</v>
      </c>
      <c r="Z84" s="11">
        <f>IF(Y84="", "", (Y84-TODAY()) * 50 - V84 * 10 - G84 * 5 + IF(W84="Red", -20, IF(W84="Yellow", -10, 0)) - IFERROR(INDEX(Analytics!$F$5:$F$20, MATCH(C84, Analytics!$A$5:$A$20, 0)) * 5, 0) + MOD(A84, 7))</f>
        <v>0</v>
      </c>
    </row>
    <row r="85" spans="1:26">
      <c r="A85" s="11">
        <v>84</v>
      </c>
      <c r="B85" s="4" t="s">
        <v>432</v>
      </c>
      <c r="C85" s="12" t="s">
        <v>43</v>
      </c>
      <c r="D85" s="12" t="s">
        <v>43</v>
      </c>
      <c r="E85" s="12" t="s">
        <v>35</v>
      </c>
      <c r="F85" s="11">
        <v>40</v>
      </c>
      <c r="G85" s="11">
        <v>9</v>
      </c>
      <c r="H85" s="12" t="s">
        <v>117</v>
      </c>
      <c r="I85" s="12" t="s">
        <v>117</v>
      </c>
      <c r="J85" s="4" t="s">
        <v>157</v>
      </c>
      <c r="K85" s="4" t="s">
        <v>160</v>
      </c>
      <c r="L85" s="12" t="s">
        <v>161</v>
      </c>
      <c r="M85" s="12" t="s">
        <v>140</v>
      </c>
      <c r="N85" s="4" t="s">
        <v>340</v>
      </c>
      <c r="O85" s="9" t="s">
        <v>304</v>
      </c>
      <c r="P85" s="9" t="s">
        <v>305</v>
      </c>
      <c r="Q85" s="9" t="s">
        <v>306</v>
      </c>
      <c r="R85" s="9" t="s">
        <v>307</v>
      </c>
      <c r="Y85" s="10">
        <f>IF(S85="", "", IF(W85="Green", S85+30, IF(W85="Yellow", S85+7, IF(W85="Red", S85+2, ""))))</f>
        <v>0</v>
      </c>
      <c r="Z85" s="11">
        <f>IF(Y85="", "", (Y85-TODAY()) * 50 - V85 * 10 - G85 * 5 + IF(W85="Red", -20, IF(W85="Yellow", -10, 0)) - IFERROR(INDEX(Analytics!$F$5:$F$20, MATCH(C85, Analytics!$A$5:$A$20, 0)) * 5, 0) + MOD(A85, 7))</f>
        <v>0</v>
      </c>
    </row>
    <row r="86" spans="1:26">
      <c r="A86" s="11">
        <v>85</v>
      </c>
      <c r="B86" s="4" t="s">
        <v>433</v>
      </c>
      <c r="C86" s="12" t="s">
        <v>43</v>
      </c>
      <c r="D86" s="12" t="s">
        <v>43</v>
      </c>
      <c r="E86" s="12" t="s">
        <v>35</v>
      </c>
      <c r="F86" s="11">
        <v>40</v>
      </c>
      <c r="G86" s="11">
        <v>8</v>
      </c>
      <c r="H86" s="12" t="s">
        <v>150</v>
      </c>
      <c r="I86" s="12" t="s">
        <v>150</v>
      </c>
      <c r="J86" s="4" t="s">
        <v>157</v>
      </c>
      <c r="K86" s="4" t="s">
        <v>160</v>
      </c>
      <c r="L86" s="12" t="s">
        <v>161</v>
      </c>
      <c r="M86" s="12" t="s">
        <v>140</v>
      </c>
      <c r="N86" s="4" t="s">
        <v>350</v>
      </c>
      <c r="O86" s="9" t="s">
        <v>304</v>
      </c>
      <c r="P86" s="9" t="s">
        <v>305</v>
      </c>
      <c r="Q86" s="9" t="s">
        <v>306</v>
      </c>
      <c r="R86" s="9" t="s">
        <v>307</v>
      </c>
      <c r="Y86" s="10">
        <f>IF(S86="", "", IF(W86="Green", S86+30, IF(W86="Yellow", S86+7, IF(W86="Red", S86+2, ""))))</f>
        <v>0</v>
      </c>
      <c r="Z86" s="11">
        <f>IF(Y86="", "", (Y86-TODAY()) * 50 - V86 * 10 - G86 * 5 + IF(W86="Red", -20, IF(W86="Yellow", -10, 0)) - IFERROR(INDEX(Analytics!$F$5:$F$20, MATCH(C86, Analytics!$A$5:$A$20, 0)) * 5, 0) + MOD(A86, 7))</f>
        <v>0</v>
      </c>
    </row>
    <row r="87" spans="1:26">
      <c r="A87" s="11">
        <v>86</v>
      </c>
      <c r="B87" s="4" t="s">
        <v>434</v>
      </c>
      <c r="C87" s="12" t="s">
        <v>43</v>
      </c>
      <c r="D87" s="12" t="s">
        <v>44</v>
      </c>
      <c r="E87" s="12" t="s">
        <v>34</v>
      </c>
      <c r="F87" s="11">
        <v>20</v>
      </c>
      <c r="G87" s="11">
        <v>8</v>
      </c>
      <c r="H87" s="12" t="s">
        <v>150</v>
      </c>
      <c r="I87" s="12" t="s">
        <v>150</v>
      </c>
      <c r="J87" s="4" t="s">
        <v>164</v>
      </c>
      <c r="K87" s="4" t="s">
        <v>167</v>
      </c>
      <c r="L87" s="12" t="s">
        <v>168</v>
      </c>
      <c r="M87" s="12" t="s">
        <v>140</v>
      </c>
      <c r="N87" s="4" t="s">
        <v>383</v>
      </c>
      <c r="O87" s="9" t="s">
        <v>304</v>
      </c>
      <c r="P87" s="9" t="s">
        <v>305</v>
      </c>
      <c r="Q87" s="9" t="s">
        <v>306</v>
      </c>
      <c r="R87" s="9" t="s">
        <v>307</v>
      </c>
      <c r="Y87" s="10">
        <f>IF(S87="", "", IF(W87="Green", S87+30, IF(W87="Yellow", S87+7, IF(W87="Red", S87+2, ""))))</f>
        <v>0</v>
      </c>
      <c r="Z87" s="11">
        <f>IF(Y87="", "", (Y87-TODAY()) * 50 - V87 * 10 - G87 * 5 + IF(W87="Red", -20, IF(W87="Yellow", -10, 0)) - IFERROR(INDEX(Analytics!$F$5:$F$20, MATCH(C87, Analytics!$A$5:$A$20, 0)) * 5, 0) + MOD(A87, 7))</f>
        <v>0</v>
      </c>
    </row>
    <row r="88" spans="1:26">
      <c r="A88" s="11">
        <v>87</v>
      </c>
      <c r="B88" s="4" t="s">
        <v>435</v>
      </c>
      <c r="C88" s="12" t="s">
        <v>43</v>
      </c>
      <c r="D88" s="12" t="s">
        <v>44</v>
      </c>
      <c r="E88" s="12" t="s">
        <v>34</v>
      </c>
      <c r="F88" s="11">
        <v>20</v>
      </c>
      <c r="G88" s="11">
        <v>8</v>
      </c>
      <c r="H88" s="12" t="s">
        <v>150</v>
      </c>
      <c r="I88" s="12" t="s">
        <v>150</v>
      </c>
      <c r="J88" s="4" t="s">
        <v>164</v>
      </c>
      <c r="K88" s="4" t="s">
        <v>167</v>
      </c>
      <c r="L88" s="12" t="s">
        <v>168</v>
      </c>
      <c r="M88" s="12" t="s">
        <v>140</v>
      </c>
      <c r="N88" s="4" t="s">
        <v>436</v>
      </c>
      <c r="O88" s="9" t="s">
        <v>304</v>
      </c>
      <c r="P88" s="9" t="s">
        <v>305</v>
      </c>
      <c r="Q88" s="9" t="s">
        <v>306</v>
      </c>
      <c r="R88" s="9" t="s">
        <v>307</v>
      </c>
      <c r="Y88" s="10">
        <f>IF(S88="", "", IF(W88="Green", S88+30, IF(W88="Yellow", S88+7, IF(W88="Red", S88+2, ""))))</f>
        <v>0</v>
      </c>
      <c r="Z88" s="11">
        <f>IF(Y88="", "", (Y88-TODAY()) * 50 - V88 * 10 - G88 * 5 + IF(W88="Red", -20, IF(W88="Yellow", -10, 0)) - IFERROR(INDEX(Analytics!$F$5:$F$20, MATCH(C88, Analytics!$A$5:$A$20, 0)) * 5, 0) + MOD(A88, 7))</f>
        <v>0</v>
      </c>
    </row>
    <row r="89" spans="1:26">
      <c r="A89" s="11">
        <v>88</v>
      </c>
      <c r="B89" s="4" t="s">
        <v>437</v>
      </c>
      <c r="C89" s="12" t="s">
        <v>43</v>
      </c>
      <c r="D89" s="12" t="s">
        <v>44</v>
      </c>
      <c r="E89" s="12" t="s">
        <v>35</v>
      </c>
      <c r="F89" s="11">
        <v>40</v>
      </c>
      <c r="G89" s="11">
        <v>10</v>
      </c>
      <c r="H89" s="12" t="s">
        <v>117</v>
      </c>
      <c r="I89" s="12" t="s">
        <v>117</v>
      </c>
      <c r="J89" s="4" t="s">
        <v>164</v>
      </c>
      <c r="K89" s="4" t="s">
        <v>167</v>
      </c>
      <c r="L89" s="12" t="s">
        <v>168</v>
      </c>
      <c r="M89" s="12" t="s">
        <v>140</v>
      </c>
      <c r="N89" s="4" t="s">
        <v>336</v>
      </c>
      <c r="O89" s="9" t="s">
        <v>304</v>
      </c>
      <c r="P89" s="9" t="s">
        <v>305</v>
      </c>
      <c r="Q89" s="9" t="s">
        <v>306</v>
      </c>
      <c r="R89" s="9" t="s">
        <v>307</v>
      </c>
      <c r="Y89" s="10">
        <f>IF(S89="", "", IF(W89="Green", S89+30, IF(W89="Yellow", S89+7, IF(W89="Red", S89+2, ""))))</f>
        <v>0</v>
      </c>
      <c r="Z89" s="11">
        <f>IF(Y89="", "", (Y89-TODAY()) * 50 - V89 * 10 - G89 * 5 + IF(W89="Red", -20, IF(W89="Yellow", -10, 0)) - IFERROR(INDEX(Analytics!$F$5:$F$20, MATCH(C89, Analytics!$A$5:$A$20, 0)) * 5, 0) + MOD(A89, 7))</f>
        <v>0</v>
      </c>
    </row>
    <row r="90" spans="1:26">
      <c r="A90" s="11">
        <v>89</v>
      </c>
      <c r="B90" s="4" t="s">
        <v>438</v>
      </c>
      <c r="C90" s="12" t="s">
        <v>43</v>
      </c>
      <c r="D90" s="12" t="s">
        <v>44</v>
      </c>
      <c r="E90" s="12" t="s">
        <v>35</v>
      </c>
      <c r="F90" s="11">
        <v>40</v>
      </c>
      <c r="G90" s="11">
        <v>9</v>
      </c>
      <c r="H90" s="12" t="s">
        <v>150</v>
      </c>
      <c r="I90" s="12" t="s">
        <v>117</v>
      </c>
      <c r="J90" s="4" t="s">
        <v>164</v>
      </c>
      <c r="K90" s="4" t="s">
        <v>167</v>
      </c>
      <c r="L90" s="12" t="s">
        <v>168</v>
      </c>
      <c r="M90" s="12" t="s">
        <v>140</v>
      </c>
      <c r="N90" s="4" t="s">
        <v>336</v>
      </c>
      <c r="O90" s="9" t="s">
        <v>304</v>
      </c>
      <c r="P90" s="9" t="s">
        <v>305</v>
      </c>
      <c r="Q90" s="9" t="s">
        <v>306</v>
      </c>
      <c r="R90" s="9" t="s">
        <v>307</v>
      </c>
      <c r="Y90" s="10">
        <f>IF(S90="", "", IF(W90="Green", S90+30, IF(W90="Yellow", S90+7, IF(W90="Red", S90+2, ""))))</f>
        <v>0</v>
      </c>
      <c r="Z90" s="11">
        <f>IF(Y90="", "", (Y90-TODAY()) * 50 - V90 * 10 - G90 * 5 + IF(W90="Red", -20, IF(W90="Yellow", -10, 0)) - IFERROR(INDEX(Analytics!$F$5:$F$20, MATCH(C90, Analytics!$A$5:$A$20, 0)) * 5, 0) + MOD(A90, 7))</f>
        <v>0</v>
      </c>
    </row>
    <row r="91" spans="1:26">
      <c r="A91" s="11">
        <v>90</v>
      </c>
      <c r="B91" s="4" t="s">
        <v>439</v>
      </c>
      <c r="C91" s="12" t="s">
        <v>43</v>
      </c>
      <c r="D91" s="12" t="s">
        <v>44</v>
      </c>
      <c r="E91" s="12" t="s">
        <v>35</v>
      </c>
      <c r="F91" s="11">
        <v>40</v>
      </c>
      <c r="G91" s="11">
        <v>9</v>
      </c>
      <c r="H91" s="12" t="s">
        <v>150</v>
      </c>
      <c r="I91" s="12" t="s">
        <v>117</v>
      </c>
      <c r="J91" s="4" t="s">
        <v>164</v>
      </c>
      <c r="K91" s="4" t="s">
        <v>167</v>
      </c>
      <c r="L91" s="12" t="s">
        <v>168</v>
      </c>
      <c r="M91" s="12" t="s">
        <v>140</v>
      </c>
      <c r="N91" s="4" t="s">
        <v>72</v>
      </c>
      <c r="O91" s="9" t="s">
        <v>304</v>
      </c>
      <c r="P91" s="9" t="s">
        <v>305</v>
      </c>
      <c r="Q91" s="9" t="s">
        <v>306</v>
      </c>
      <c r="R91" s="9" t="s">
        <v>307</v>
      </c>
      <c r="Y91" s="10">
        <f>IF(S91="", "", IF(W91="Green", S91+30, IF(W91="Yellow", S91+7, IF(W91="Red", S91+2, ""))))</f>
        <v>0</v>
      </c>
      <c r="Z91" s="11">
        <f>IF(Y91="", "", (Y91-TODAY()) * 50 - V91 * 10 - G91 * 5 + IF(W91="Red", -20, IF(W91="Yellow", -10, 0)) - IFERROR(INDEX(Analytics!$F$5:$F$20, MATCH(C91, Analytics!$A$5:$A$20, 0)) * 5, 0) + MOD(A91, 7))</f>
        <v>0</v>
      </c>
    </row>
    <row r="92" spans="1:26">
      <c r="A92" s="11">
        <v>91</v>
      </c>
      <c r="B92" s="4" t="s">
        <v>440</v>
      </c>
      <c r="C92" s="12" t="s">
        <v>43</v>
      </c>
      <c r="D92" s="12" t="s">
        <v>44</v>
      </c>
      <c r="E92" s="12" t="s">
        <v>35</v>
      </c>
      <c r="F92" s="11">
        <v>40</v>
      </c>
      <c r="G92" s="11">
        <v>9</v>
      </c>
      <c r="H92" s="12" t="s">
        <v>150</v>
      </c>
      <c r="I92" s="12" t="s">
        <v>117</v>
      </c>
      <c r="J92" s="4" t="s">
        <v>164</v>
      </c>
      <c r="K92" s="4" t="s">
        <v>167</v>
      </c>
      <c r="L92" s="12" t="s">
        <v>168</v>
      </c>
      <c r="M92" s="12" t="s">
        <v>140</v>
      </c>
      <c r="N92" s="4" t="s">
        <v>441</v>
      </c>
      <c r="O92" s="9" t="s">
        <v>304</v>
      </c>
      <c r="P92" s="9" t="s">
        <v>305</v>
      </c>
      <c r="Q92" s="9" t="s">
        <v>306</v>
      </c>
      <c r="R92" s="9" t="s">
        <v>307</v>
      </c>
      <c r="Y92" s="10">
        <f>IF(S92="", "", IF(W92="Green", S92+30, IF(W92="Yellow", S92+7, IF(W92="Red", S92+2, ""))))</f>
        <v>0</v>
      </c>
      <c r="Z92" s="11">
        <f>IF(Y92="", "", (Y92-TODAY()) * 50 - V92 * 10 - G92 * 5 + IF(W92="Red", -20, IF(W92="Yellow", -10, 0)) - IFERROR(INDEX(Analytics!$F$5:$F$20, MATCH(C92, Analytics!$A$5:$A$20, 0)) * 5, 0) + MOD(A92, 7))</f>
        <v>0</v>
      </c>
    </row>
    <row r="93" spans="1:26">
      <c r="A93" s="11">
        <v>92</v>
      </c>
      <c r="B93" s="4" t="s">
        <v>442</v>
      </c>
      <c r="C93" s="12" t="s">
        <v>43</v>
      </c>
      <c r="D93" s="12" t="s">
        <v>44</v>
      </c>
      <c r="E93" s="12" t="s">
        <v>34</v>
      </c>
      <c r="F93" s="11">
        <v>20</v>
      </c>
      <c r="G93" s="11">
        <v>8</v>
      </c>
      <c r="H93" s="12" t="s">
        <v>317</v>
      </c>
      <c r="I93" s="12" t="s">
        <v>150</v>
      </c>
      <c r="J93" s="4" t="s">
        <v>164</v>
      </c>
      <c r="K93" s="4" t="s">
        <v>167</v>
      </c>
      <c r="L93" s="12" t="s">
        <v>168</v>
      </c>
      <c r="M93" s="12" t="s">
        <v>140</v>
      </c>
      <c r="N93" s="4" t="s">
        <v>443</v>
      </c>
      <c r="O93" s="9" t="s">
        <v>304</v>
      </c>
      <c r="P93" s="9" t="s">
        <v>305</v>
      </c>
      <c r="Q93" s="9" t="s">
        <v>306</v>
      </c>
      <c r="R93" s="9" t="s">
        <v>307</v>
      </c>
      <c r="Y93" s="10">
        <f>IF(S93="", "", IF(W93="Green", S93+30, IF(W93="Yellow", S93+7, IF(W93="Red", S93+2, ""))))</f>
        <v>0</v>
      </c>
      <c r="Z93" s="11">
        <f>IF(Y93="", "", (Y93-TODAY()) * 50 - V93 * 10 - G93 * 5 + IF(W93="Red", -20, IF(W93="Yellow", -10, 0)) - IFERROR(INDEX(Analytics!$F$5:$F$20, MATCH(C93, Analytics!$A$5:$A$20, 0)) * 5, 0) + MOD(A93, 7))</f>
        <v>0</v>
      </c>
    </row>
    <row r="94" spans="1:26">
      <c r="A94" s="11">
        <v>93</v>
      </c>
      <c r="B94" s="4" t="s">
        <v>444</v>
      </c>
      <c r="C94" s="12" t="s">
        <v>43</v>
      </c>
      <c r="D94" s="12" t="s">
        <v>44</v>
      </c>
      <c r="E94" s="12" t="s">
        <v>35</v>
      </c>
      <c r="F94" s="11">
        <v>40</v>
      </c>
      <c r="G94" s="11">
        <v>10</v>
      </c>
      <c r="H94" s="12" t="s">
        <v>117</v>
      </c>
      <c r="I94" s="12" t="s">
        <v>117</v>
      </c>
      <c r="J94" s="4" t="s">
        <v>164</v>
      </c>
      <c r="K94" s="4" t="s">
        <v>167</v>
      </c>
      <c r="L94" s="12" t="s">
        <v>168</v>
      </c>
      <c r="M94" s="12" t="s">
        <v>140</v>
      </c>
      <c r="N94" s="4" t="s">
        <v>332</v>
      </c>
      <c r="O94" s="9" t="s">
        <v>304</v>
      </c>
      <c r="P94" s="9" t="s">
        <v>305</v>
      </c>
      <c r="Q94" s="9" t="s">
        <v>306</v>
      </c>
      <c r="R94" s="9" t="s">
        <v>307</v>
      </c>
      <c r="Y94" s="10">
        <f>IF(S94="", "", IF(W94="Green", S94+30, IF(W94="Yellow", S94+7, IF(W94="Red", S94+2, ""))))</f>
        <v>0</v>
      </c>
      <c r="Z94" s="11">
        <f>IF(Y94="", "", (Y94-TODAY()) * 50 - V94 * 10 - G94 * 5 + IF(W94="Red", -20, IF(W94="Yellow", -10, 0)) - IFERROR(INDEX(Analytics!$F$5:$F$20, MATCH(C94, Analytics!$A$5:$A$20, 0)) * 5, 0) + MOD(A94, 7))</f>
        <v>0</v>
      </c>
    </row>
    <row r="95" spans="1:26">
      <c r="A95" s="11">
        <v>94</v>
      </c>
      <c r="B95" s="4" t="s">
        <v>445</v>
      </c>
      <c r="C95" s="12" t="s">
        <v>43</v>
      </c>
      <c r="D95" s="12" t="s">
        <v>44</v>
      </c>
      <c r="E95" s="12" t="s">
        <v>36</v>
      </c>
      <c r="F95" s="11">
        <v>60</v>
      </c>
      <c r="G95" s="11">
        <v>10</v>
      </c>
      <c r="H95" s="12" t="s">
        <v>117</v>
      </c>
      <c r="I95" s="12" t="s">
        <v>117</v>
      </c>
      <c r="J95" s="4" t="s">
        <v>164</v>
      </c>
      <c r="K95" s="4" t="s">
        <v>167</v>
      </c>
      <c r="L95" s="12" t="s">
        <v>168</v>
      </c>
      <c r="M95" s="12" t="s">
        <v>140</v>
      </c>
      <c r="N95" s="4" t="s">
        <v>352</v>
      </c>
      <c r="O95" s="9" t="s">
        <v>304</v>
      </c>
      <c r="P95" s="9" t="s">
        <v>305</v>
      </c>
      <c r="Q95" s="9" t="s">
        <v>306</v>
      </c>
      <c r="R95" s="9" t="s">
        <v>307</v>
      </c>
      <c r="Y95" s="10">
        <f>IF(S95="", "", IF(W95="Green", S95+30, IF(W95="Yellow", S95+7, IF(W95="Red", S95+2, ""))))</f>
        <v>0</v>
      </c>
      <c r="Z95" s="11">
        <f>IF(Y95="", "", (Y95-TODAY()) * 50 - V95 * 10 - G95 * 5 + IF(W95="Red", -20, IF(W95="Yellow", -10, 0)) - IFERROR(INDEX(Analytics!$F$5:$F$20, MATCH(C95, Analytics!$A$5:$A$20, 0)) * 5, 0) + MOD(A95, 7))</f>
        <v>0</v>
      </c>
    </row>
    <row r="96" spans="1:26">
      <c r="A96" s="11">
        <v>95</v>
      </c>
      <c r="B96" s="4" t="s">
        <v>446</v>
      </c>
      <c r="C96" s="12" t="s">
        <v>43</v>
      </c>
      <c r="D96" s="12" t="s">
        <v>44</v>
      </c>
      <c r="E96" s="12" t="s">
        <v>36</v>
      </c>
      <c r="F96" s="11">
        <v>60</v>
      </c>
      <c r="G96" s="11">
        <v>9</v>
      </c>
      <c r="H96" s="12" t="s">
        <v>150</v>
      </c>
      <c r="I96" s="12" t="s">
        <v>117</v>
      </c>
      <c r="J96" s="4" t="s">
        <v>164</v>
      </c>
      <c r="K96" s="4" t="s">
        <v>167</v>
      </c>
      <c r="L96" s="12" t="s">
        <v>168</v>
      </c>
      <c r="M96" s="12" t="s">
        <v>140</v>
      </c>
      <c r="N96" s="4" t="s">
        <v>73</v>
      </c>
      <c r="O96" s="9" t="s">
        <v>304</v>
      </c>
      <c r="P96" s="9" t="s">
        <v>305</v>
      </c>
      <c r="Q96" s="9" t="s">
        <v>306</v>
      </c>
      <c r="R96" s="9" t="s">
        <v>307</v>
      </c>
      <c r="Y96" s="10">
        <f>IF(S96="", "", IF(W96="Green", S96+30, IF(W96="Yellow", S96+7, IF(W96="Red", S96+2, ""))))</f>
        <v>0</v>
      </c>
      <c r="Z96" s="11">
        <f>IF(Y96="", "", (Y96-TODAY()) * 50 - V96 * 10 - G96 * 5 + IF(W96="Red", -20, IF(W96="Yellow", -10, 0)) - IFERROR(INDEX(Analytics!$F$5:$F$20, MATCH(C96, Analytics!$A$5:$A$20, 0)) * 5, 0) + MOD(A96, 7))</f>
        <v>0</v>
      </c>
    </row>
    <row r="97" spans="1:26">
      <c r="A97" s="11">
        <v>96</v>
      </c>
      <c r="B97" s="4" t="s">
        <v>447</v>
      </c>
      <c r="C97" s="12" t="s">
        <v>43</v>
      </c>
      <c r="D97" s="12" t="s">
        <v>44</v>
      </c>
      <c r="E97" s="12" t="s">
        <v>36</v>
      </c>
      <c r="F97" s="11">
        <v>60</v>
      </c>
      <c r="G97" s="11">
        <v>9</v>
      </c>
      <c r="H97" s="12" t="s">
        <v>150</v>
      </c>
      <c r="I97" s="12" t="s">
        <v>117</v>
      </c>
      <c r="J97" s="4" t="s">
        <v>164</v>
      </c>
      <c r="K97" s="4" t="s">
        <v>167</v>
      </c>
      <c r="L97" s="12" t="s">
        <v>168</v>
      </c>
      <c r="M97" s="12" t="s">
        <v>140</v>
      </c>
      <c r="N97" s="4" t="s">
        <v>324</v>
      </c>
      <c r="O97" s="9" t="s">
        <v>304</v>
      </c>
      <c r="P97" s="9" t="s">
        <v>305</v>
      </c>
      <c r="Q97" s="9" t="s">
        <v>306</v>
      </c>
      <c r="R97" s="9" t="s">
        <v>307</v>
      </c>
      <c r="Y97" s="10">
        <f>IF(S97="", "", IF(W97="Green", S97+30, IF(W97="Yellow", S97+7, IF(W97="Red", S97+2, ""))))</f>
        <v>0</v>
      </c>
      <c r="Z97" s="11">
        <f>IF(Y97="", "", (Y97-TODAY()) * 50 - V97 * 10 - G97 * 5 + IF(W97="Red", -20, IF(W97="Yellow", -10, 0)) - IFERROR(INDEX(Analytics!$F$5:$F$20, MATCH(C97, Analytics!$A$5:$A$20, 0)) * 5, 0) + MOD(A97, 7))</f>
        <v>0</v>
      </c>
    </row>
    <row r="98" spans="1:26">
      <c r="A98" s="11">
        <v>97</v>
      </c>
      <c r="B98" s="4" t="s">
        <v>448</v>
      </c>
      <c r="C98" s="12" t="s">
        <v>43</v>
      </c>
      <c r="D98" s="12" t="s">
        <v>43</v>
      </c>
      <c r="E98" s="12" t="s">
        <v>36</v>
      </c>
      <c r="F98" s="11">
        <v>60</v>
      </c>
      <c r="G98" s="11">
        <v>8</v>
      </c>
      <c r="H98" s="12" t="s">
        <v>317</v>
      </c>
      <c r="I98" s="12" t="s">
        <v>150</v>
      </c>
      <c r="J98" s="4" t="s">
        <v>157</v>
      </c>
      <c r="K98" s="4" t="s">
        <v>160</v>
      </c>
      <c r="L98" s="12" t="s">
        <v>161</v>
      </c>
      <c r="M98" s="12" t="s">
        <v>140</v>
      </c>
      <c r="N98" s="4" t="s">
        <v>336</v>
      </c>
      <c r="O98" s="9" t="s">
        <v>304</v>
      </c>
      <c r="P98" s="9" t="s">
        <v>305</v>
      </c>
      <c r="Q98" s="9" t="s">
        <v>306</v>
      </c>
      <c r="R98" s="9" t="s">
        <v>307</v>
      </c>
      <c r="Y98" s="10">
        <f>IF(S98="", "", IF(W98="Green", S98+30, IF(W98="Yellow", S98+7, IF(W98="Red", S98+2, ""))))</f>
        <v>0</v>
      </c>
      <c r="Z98" s="11">
        <f>IF(Y98="", "", (Y98-TODAY()) * 50 - V98 * 10 - G98 * 5 + IF(W98="Red", -20, IF(W98="Yellow", -10, 0)) - IFERROR(INDEX(Analytics!$F$5:$F$20, MATCH(C98, Analytics!$A$5:$A$20, 0)) * 5, 0) + MOD(A98, 7))</f>
        <v>0</v>
      </c>
    </row>
    <row r="99" spans="1:26">
      <c r="A99" s="11">
        <v>98</v>
      </c>
      <c r="B99" s="4" t="s">
        <v>449</v>
      </c>
      <c r="C99" s="12" t="s">
        <v>43</v>
      </c>
      <c r="D99" s="12" t="s">
        <v>43</v>
      </c>
      <c r="E99" s="12" t="s">
        <v>36</v>
      </c>
      <c r="F99" s="11">
        <v>60</v>
      </c>
      <c r="G99" s="11">
        <v>8</v>
      </c>
      <c r="H99" s="12" t="s">
        <v>317</v>
      </c>
      <c r="I99" s="12" t="s">
        <v>150</v>
      </c>
      <c r="J99" s="4" t="s">
        <v>157</v>
      </c>
      <c r="K99" s="4" t="s">
        <v>160</v>
      </c>
      <c r="L99" s="12" t="s">
        <v>161</v>
      </c>
      <c r="M99" s="12" t="s">
        <v>140</v>
      </c>
      <c r="N99" s="4" t="s">
        <v>73</v>
      </c>
      <c r="O99" s="9" t="s">
        <v>304</v>
      </c>
      <c r="P99" s="9" t="s">
        <v>305</v>
      </c>
      <c r="Q99" s="9" t="s">
        <v>306</v>
      </c>
      <c r="R99" s="9" t="s">
        <v>307</v>
      </c>
      <c r="Y99" s="10">
        <f>IF(S99="", "", IF(W99="Green", S99+30, IF(W99="Yellow", S99+7, IF(W99="Red", S99+2, ""))))</f>
        <v>0</v>
      </c>
      <c r="Z99" s="11">
        <f>IF(Y99="", "", (Y99-TODAY()) * 50 - V99 * 10 - G99 * 5 + IF(W99="Red", -20, IF(W99="Yellow", -10, 0)) - IFERROR(INDEX(Analytics!$F$5:$F$20, MATCH(C99, Analytics!$A$5:$A$20, 0)) * 5, 0) + MOD(A99, 7))</f>
        <v>0</v>
      </c>
    </row>
    <row r="100" spans="1:26">
      <c r="A100" s="11">
        <v>99</v>
      </c>
      <c r="B100" s="4" t="s">
        <v>450</v>
      </c>
      <c r="C100" s="12" t="s">
        <v>43</v>
      </c>
      <c r="D100" s="12" t="s">
        <v>43</v>
      </c>
      <c r="E100" s="12" t="s">
        <v>36</v>
      </c>
      <c r="F100" s="11">
        <v>60</v>
      </c>
      <c r="G100" s="11">
        <v>9</v>
      </c>
      <c r="H100" s="12" t="s">
        <v>150</v>
      </c>
      <c r="I100" s="12" t="s">
        <v>117</v>
      </c>
      <c r="J100" s="4" t="s">
        <v>157</v>
      </c>
      <c r="K100" s="4" t="s">
        <v>160</v>
      </c>
      <c r="L100" s="12" t="s">
        <v>161</v>
      </c>
      <c r="M100" s="12" t="s">
        <v>140</v>
      </c>
      <c r="N100" s="4" t="s">
        <v>336</v>
      </c>
      <c r="O100" s="9" t="s">
        <v>304</v>
      </c>
      <c r="P100" s="9" t="s">
        <v>305</v>
      </c>
      <c r="Q100" s="9" t="s">
        <v>306</v>
      </c>
      <c r="R100" s="9" t="s">
        <v>307</v>
      </c>
      <c r="Y100" s="10">
        <f>IF(S100="", "", IF(W100="Green", S100+30, IF(W100="Yellow", S100+7, IF(W100="Red", S100+2, ""))))</f>
        <v>0</v>
      </c>
      <c r="Z100" s="11">
        <f>IF(Y100="", "", (Y100-TODAY()) * 50 - V100 * 10 - G100 * 5 + IF(W100="Red", -20, IF(W100="Yellow", -10, 0)) - IFERROR(INDEX(Analytics!$F$5:$F$20, MATCH(C100, Analytics!$A$5:$A$20, 0)) * 5, 0) + MOD(A100, 7))</f>
        <v>0</v>
      </c>
    </row>
    <row r="101" spans="1:26">
      <c r="A101" s="11">
        <v>100</v>
      </c>
      <c r="B101" s="4" t="s">
        <v>451</v>
      </c>
      <c r="C101" s="12" t="s">
        <v>43</v>
      </c>
      <c r="D101" s="12" t="s">
        <v>44</v>
      </c>
      <c r="E101" s="12" t="s">
        <v>36</v>
      </c>
      <c r="F101" s="11">
        <v>60</v>
      </c>
      <c r="G101" s="11">
        <v>8</v>
      </c>
      <c r="H101" s="12" t="s">
        <v>317</v>
      </c>
      <c r="I101" s="12" t="s">
        <v>150</v>
      </c>
      <c r="J101" s="4" t="s">
        <v>164</v>
      </c>
      <c r="K101" s="4" t="s">
        <v>167</v>
      </c>
      <c r="L101" s="12" t="s">
        <v>168</v>
      </c>
      <c r="M101" s="12" t="s">
        <v>140</v>
      </c>
      <c r="N101" s="4" t="s">
        <v>73</v>
      </c>
      <c r="O101" s="9" t="s">
        <v>304</v>
      </c>
      <c r="P101" s="9" t="s">
        <v>305</v>
      </c>
      <c r="Q101" s="9" t="s">
        <v>306</v>
      </c>
      <c r="R101" s="9" t="s">
        <v>307</v>
      </c>
      <c r="Y101" s="10">
        <f>IF(S101="", "", IF(W101="Green", S101+30, IF(W101="Yellow", S101+7, IF(W101="Red", S101+2, ""))))</f>
        <v>0</v>
      </c>
      <c r="Z101" s="11">
        <f>IF(Y101="", "", (Y101-TODAY()) * 50 - V101 * 10 - G101 * 5 + IF(W101="Red", -20, IF(W101="Yellow", -10, 0)) - IFERROR(INDEX(Analytics!$F$5:$F$20, MATCH(C101, Analytics!$A$5:$A$20, 0)) * 5, 0) + MOD(A101, 7))</f>
        <v>0</v>
      </c>
    </row>
    <row r="102" spans="1:26">
      <c r="A102" s="11">
        <v>101</v>
      </c>
      <c r="B102" s="4" t="s">
        <v>452</v>
      </c>
      <c r="C102" s="12" t="s">
        <v>59</v>
      </c>
      <c r="D102" s="12" t="s">
        <v>59</v>
      </c>
      <c r="E102" s="12" t="s">
        <v>34</v>
      </c>
      <c r="F102" s="11">
        <v>20</v>
      </c>
      <c r="G102" s="11">
        <v>10</v>
      </c>
      <c r="H102" s="12" t="s">
        <v>117</v>
      </c>
      <c r="I102" s="12" t="s">
        <v>117</v>
      </c>
      <c r="J102" s="4" t="s">
        <v>127</v>
      </c>
      <c r="K102" s="4" t="s">
        <v>130</v>
      </c>
      <c r="L102" s="12" t="s">
        <v>131</v>
      </c>
      <c r="M102" s="12" t="s">
        <v>132</v>
      </c>
      <c r="N102" s="4" t="s">
        <v>453</v>
      </c>
      <c r="O102" s="9" t="s">
        <v>304</v>
      </c>
      <c r="P102" s="9" t="s">
        <v>305</v>
      </c>
      <c r="Q102" s="9" t="s">
        <v>306</v>
      </c>
      <c r="R102" s="9" t="s">
        <v>307</v>
      </c>
      <c r="Y102" s="10">
        <f>IF(S102="", "", IF(W102="Green", S102+30, IF(W102="Yellow", S102+7, IF(W102="Red", S102+2, ""))))</f>
        <v>0</v>
      </c>
      <c r="Z102" s="11">
        <f>IF(Y102="", "", (Y102-TODAY()) * 50 - V102 * 10 - G102 * 5 + IF(W102="Red", -20, IF(W102="Yellow", -10, 0)) - IFERROR(INDEX(Analytics!$F$5:$F$20, MATCH(C102, Analytics!$A$5:$A$20, 0)) * 5, 0) + MOD(A102, 7))</f>
        <v>0</v>
      </c>
    </row>
    <row r="103" spans="1:26">
      <c r="A103" s="11">
        <v>102</v>
      </c>
      <c r="B103" s="4" t="s">
        <v>454</v>
      </c>
      <c r="C103" s="12" t="s">
        <v>59</v>
      </c>
      <c r="D103" s="12" t="s">
        <v>59</v>
      </c>
      <c r="E103" s="12" t="s">
        <v>35</v>
      </c>
      <c r="F103" s="11">
        <v>40</v>
      </c>
      <c r="G103" s="11">
        <v>10</v>
      </c>
      <c r="H103" s="12" t="s">
        <v>117</v>
      </c>
      <c r="I103" s="12" t="s">
        <v>117</v>
      </c>
      <c r="J103" s="4" t="s">
        <v>127</v>
      </c>
      <c r="K103" s="4" t="s">
        <v>130</v>
      </c>
      <c r="L103" s="12" t="s">
        <v>131</v>
      </c>
      <c r="M103" s="12" t="s">
        <v>132</v>
      </c>
      <c r="N103" s="4" t="s">
        <v>455</v>
      </c>
      <c r="O103" s="9" t="s">
        <v>304</v>
      </c>
      <c r="P103" s="9" t="s">
        <v>305</v>
      </c>
      <c r="Q103" s="9" t="s">
        <v>306</v>
      </c>
      <c r="R103" s="9" t="s">
        <v>307</v>
      </c>
      <c r="Y103" s="10">
        <f>IF(S103="", "", IF(W103="Green", S103+30, IF(W103="Yellow", S103+7, IF(W103="Red", S103+2, ""))))</f>
        <v>0</v>
      </c>
      <c r="Z103" s="11">
        <f>IF(Y103="", "", (Y103-TODAY()) * 50 - V103 * 10 - G103 * 5 + IF(W103="Red", -20, IF(W103="Yellow", -10, 0)) - IFERROR(INDEX(Analytics!$F$5:$F$20, MATCH(C103, Analytics!$A$5:$A$20, 0)) * 5, 0) + MOD(A103, 7))</f>
        <v>0</v>
      </c>
    </row>
    <row r="104" spans="1:26">
      <c r="A104" s="11">
        <v>103</v>
      </c>
      <c r="B104" s="4" t="s">
        <v>456</v>
      </c>
      <c r="C104" s="12" t="s">
        <v>59</v>
      </c>
      <c r="D104" s="12" t="s">
        <v>59</v>
      </c>
      <c r="E104" s="12" t="s">
        <v>35</v>
      </c>
      <c r="F104" s="11">
        <v>40</v>
      </c>
      <c r="G104" s="11">
        <v>9</v>
      </c>
      <c r="H104" s="12" t="s">
        <v>117</v>
      </c>
      <c r="I104" s="12" t="s">
        <v>117</v>
      </c>
      <c r="J104" s="4" t="s">
        <v>127</v>
      </c>
      <c r="K104" s="4" t="s">
        <v>130</v>
      </c>
      <c r="L104" s="12" t="s">
        <v>131</v>
      </c>
      <c r="M104" s="12" t="s">
        <v>132</v>
      </c>
      <c r="N104" s="4" t="s">
        <v>324</v>
      </c>
      <c r="O104" s="9" t="s">
        <v>304</v>
      </c>
      <c r="P104" s="9" t="s">
        <v>305</v>
      </c>
      <c r="Q104" s="9" t="s">
        <v>306</v>
      </c>
      <c r="R104" s="9" t="s">
        <v>307</v>
      </c>
      <c r="Y104" s="10">
        <f>IF(S104="", "", IF(W104="Green", S104+30, IF(W104="Yellow", S104+7, IF(W104="Red", S104+2, ""))))</f>
        <v>0</v>
      </c>
      <c r="Z104" s="11">
        <f>IF(Y104="", "", (Y104-TODAY()) * 50 - V104 * 10 - G104 * 5 + IF(W104="Red", -20, IF(W104="Yellow", -10, 0)) - IFERROR(INDEX(Analytics!$F$5:$F$20, MATCH(C104, Analytics!$A$5:$A$20, 0)) * 5, 0) + MOD(A104, 7))</f>
        <v>0</v>
      </c>
    </row>
    <row r="105" spans="1:26">
      <c r="A105" s="11">
        <v>104</v>
      </c>
      <c r="B105" s="4" t="s">
        <v>457</v>
      </c>
      <c r="C105" s="12" t="s">
        <v>59</v>
      </c>
      <c r="D105" s="12" t="s">
        <v>59</v>
      </c>
      <c r="E105" s="12" t="s">
        <v>36</v>
      </c>
      <c r="F105" s="11">
        <v>60</v>
      </c>
      <c r="G105" s="11">
        <v>10</v>
      </c>
      <c r="H105" s="12" t="s">
        <v>117</v>
      </c>
      <c r="I105" s="12" t="s">
        <v>117</v>
      </c>
      <c r="J105" s="4" t="s">
        <v>127</v>
      </c>
      <c r="K105" s="4" t="s">
        <v>130</v>
      </c>
      <c r="L105" s="12" t="s">
        <v>131</v>
      </c>
      <c r="M105" s="12" t="s">
        <v>132</v>
      </c>
      <c r="N105" s="4" t="s">
        <v>336</v>
      </c>
      <c r="O105" s="9" t="s">
        <v>304</v>
      </c>
      <c r="P105" s="9" t="s">
        <v>305</v>
      </c>
      <c r="Q105" s="9" t="s">
        <v>306</v>
      </c>
      <c r="R105" s="9" t="s">
        <v>307</v>
      </c>
      <c r="Y105" s="10">
        <f>IF(S105="", "", IF(W105="Green", S105+30, IF(W105="Yellow", S105+7, IF(W105="Red", S105+2, ""))))</f>
        <v>0</v>
      </c>
      <c r="Z105" s="11">
        <f>IF(Y105="", "", (Y105-TODAY()) * 50 - V105 * 10 - G105 * 5 + IF(W105="Red", -20, IF(W105="Yellow", -10, 0)) - IFERROR(INDEX(Analytics!$F$5:$F$20, MATCH(C105, Analytics!$A$5:$A$20, 0)) * 5, 0) + MOD(A105, 7))</f>
        <v>0</v>
      </c>
    </row>
    <row r="106" spans="1:26">
      <c r="A106" s="11">
        <v>105</v>
      </c>
      <c r="B106" s="4" t="s">
        <v>458</v>
      </c>
      <c r="C106" s="12" t="s">
        <v>59</v>
      </c>
      <c r="D106" s="12" t="s">
        <v>59</v>
      </c>
      <c r="E106" s="12" t="s">
        <v>36</v>
      </c>
      <c r="F106" s="11">
        <v>60</v>
      </c>
      <c r="G106" s="11">
        <v>10</v>
      </c>
      <c r="H106" s="12" t="s">
        <v>117</v>
      </c>
      <c r="I106" s="12" t="s">
        <v>117</v>
      </c>
      <c r="J106" s="4" t="s">
        <v>127</v>
      </c>
      <c r="K106" s="4" t="s">
        <v>130</v>
      </c>
      <c r="L106" s="12" t="s">
        <v>131</v>
      </c>
      <c r="M106" s="12" t="s">
        <v>132</v>
      </c>
      <c r="N106" s="4" t="s">
        <v>336</v>
      </c>
      <c r="O106" s="9" t="s">
        <v>304</v>
      </c>
      <c r="P106" s="9" t="s">
        <v>305</v>
      </c>
      <c r="Q106" s="9" t="s">
        <v>306</v>
      </c>
      <c r="R106" s="9" t="s">
        <v>307</v>
      </c>
      <c r="Y106" s="10">
        <f>IF(S106="", "", IF(W106="Green", S106+30, IF(W106="Yellow", S106+7, IF(W106="Red", S106+2, ""))))</f>
        <v>0</v>
      </c>
      <c r="Z106" s="11">
        <f>IF(Y106="", "", (Y106-TODAY()) * 50 - V106 * 10 - G106 * 5 + IF(W106="Red", -20, IF(W106="Yellow", -10, 0)) - IFERROR(INDEX(Analytics!$F$5:$F$20, MATCH(C106, Analytics!$A$5:$A$20, 0)) * 5, 0) + MOD(A106, 7))</f>
        <v>0</v>
      </c>
    </row>
    <row r="107" spans="1:26">
      <c r="A107" s="11">
        <v>106</v>
      </c>
      <c r="B107" s="4" t="s">
        <v>459</v>
      </c>
      <c r="C107" s="12" t="s">
        <v>59</v>
      </c>
      <c r="D107" s="12" t="s">
        <v>59</v>
      </c>
      <c r="E107" s="12" t="s">
        <v>35</v>
      </c>
      <c r="F107" s="11">
        <v>40</v>
      </c>
      <c r="G107" s="11">
        <v>9</v>
      </c>
      <c r="H107" s="12" t="s">
        <v>150</v>
      </c>
      <c r="I107" s="12" t="s">
        <v>117</v>
      </c>
      <c r="J107" s="4" t="s">
        <v>127</v>
      </c>
      <c r="K107" s="4" t="s">
        <v>130</v>
      </c>
      <c r="L107" s="12" t="s">
        <v>131</v>
      </c>
      <c r="M107" s="12" t="s">
        <v>132</v>
      </c>
      <c r="N107" s="4" t="s">
        <v>423</v>
      </c>
      <c r="O107" s="9" t="s">
        <v>304</v>
      </c>
      <c r="P107" s="9" t="s">
        <v>305</v>
      </c>
      <c r="Q107" s="9" t="s">
        <v>306</v>
      </c>
      <c r="R107" s="9" t="s">
        <v>307</v>
      </c>
      <c r="Y107" s="10">
        <f>IF(S107="", "", IF(W107="Green", S107+30, IF(W107="Yellow", S107+7, IF(W107="Red", S107+2, ""))))</f>
        <v>0</v>
      </c>
      <c r="Z107" s="11">
        <f>IF(Y107="", "", (Y107-TODAY()) * 50 - V107 * 10 - G107 * 5 + IF(W107="Red", -20, IF(W107="Yellow", -10, 0)) - IFERROR(INDEX(Analytics!$F$5:$F$20, MATCH(C107, Analytics!$A$5:$A$20, 0)) * 5, 0) + MOD(A107, 7))</f>
        <v>0</v>
      </c>
    </row>
    <row r="108" spans="1:26">
      <c r="A108" s="11">
        <v>107</v>
      </c>
      <c r="B108" s="4" t="s">
        <v>460</v>
      </c>
      <c r="C108" s="12" t="s">
        <v>59</v>
      </c>
      <c r="D108" s="12" t="s">
        <v>59</v>
      </c>
      <c r="E108" s="12" t="s">
        <v>35</v>
      </c>
      <c r="F108" s="11">
        <v>40</v>
      </c>
      <c r="G108" s="11">
        <v>8</v>
      </c>
      <c r="H108" s="12" t="s">
        <v>150</v>
      </c>
      <c r="I108" s="12" t="s">
        <v>150</v>
      </c>
      <c r="J108" s="4" t="s">
        <v>127</v>
      </c>
      <c r="K108" s="4" t="s">
        <v>130</v>
      </c>
      <c r="L108" s="12" t="s">
        <v>131</v>
      </c>
      <c r="M108" s="12" t="s">
        <v>132</v>
      </c>
      <c r="N108" s="4" t="s">
        <v>328</v>
      </c>
      <c r="O108" s="9" t="s">
        <v>304</v>
      </c>
      <c r="P108" s="9" t="s">
        <v>305</v>
      </c>
      <c r="Q108" s="9" t="s">
        <v>306</v>
      </c>
      <c r="R108" s="9" t="s">
        <v>307</v>
      </c>
      <c r="Y108" s="10">
        <f>IF(S108="", "", IF(W108="Green", S108+30, IF(W108="Yellow", S108+7, IF(W108="Red", S108+2, ""))))</f>
        <v>0</v>
      </c>
      <c r="Z108" s="11">
        <f>IF(Y108="", "", (Y108-TODAY()) * 50 - V108 * 10 - G108 * 5 + IF(W108="Red", -20, IF(W108="Yellow", -10, 0)) - IFERROR(INDEX(Analytics!$F$5:$F$20, MATCH(C108, Analytics!$A$5:$A$20, 0)) * 5, 0) + MOD(A108, 7))</f>
        <v>0</v>
      </c>
    </row>
    <row r="109" spans="1:26">
      <c r="A109" s="11">
        <v>108</v>
      </c>
      <c r="B109" s="4" t="s">
        <v>461</v>
      </c>
      <c r="C109" s="12" t="s">
        <v>59</v>
      </c>
      <c r="D109" s="12" t="s">
        <v>59</v>
      </c>
      <c r="E109" s="12" t="s">
        <v>35</v>
      </c>
      <c r="F109" s="11">
        <v>40</v>
      </c>
      <c r="G109" s="11">
        <v>9</v>
      </c>
      <c r="H109" s="12" t="s">
        <v>150</v>
      </c>
      <c r="I109" s="12" t="s">
        <v>117</v>
      </c>
      <c r="J109" s="4" t="s">
        <v>127</v>
      </c>
      <c r="K109" s="4" t="s">
        <v>130</v>
      </c>
      <c r="L109" s="12" t="s">
        <v>131</v>
      </c>
      <c r="M109" s="12" t="s">
        <v>132</v>
      </c>
      <c r="N109" s="4" t="s">
        <v>462</v>
      </c>
      <c r="O109" s="9" t="s">
        <v>304</v>
      </c>
      <c r="P109" s="9" t="s">
        <v>305</v>
      </c>
      <c r="Q109" s="9" t="s">
        <v>306</v>
      </c>
      <c r="R109" s="9" t="s">
        <v>307</v>
      </c>
      <c r="Y109" s="10">
        <f>IF(S109="", "", IF(W109="Green", S109+30, IF(W109="Yellow", S109+7, IF(W109="Red", S109+2, ""))))</f>
        <v>0</v>
      </c>
      <c r="Z109" s="11">
        <f>IF(Y109="", "", (Y109-TODAY()) * 50 - V109 * 10 - G109 * 5 + IF(W109="Red", -20, IF(W109="Yellow", -10, 0)) - IFERROR(INDEX(Analytics!$F$5:$F$20, MATCH(C109, Analytics!$A$5:$A$20, 0)) * 5, 0) + MOD(A109, 7))</f>
        <v>0</v>
      </c>
    </row>
    <row r="110" spans="1:26">
      <c r="A110" s="11">
        <v>109</v>
      </c>
      <c r="B110" s="4" t="s">
        <v>463</v>
      </c>
      <c r="C110" s="12" t="s">
        <v>59</v>
      </c>
      <c r="D110" s="12" t="s">
        <v>59</v>
      </c>
      <c r="E110" s="12" t="s">
        <v>35</v>
      </c>
      <c r="F110" s="11">
        <v>40</v>
      </c>
      <c r="G110" s="11">
        <v>8</v>
      </c>
      <c r="H110" s="12" t="s">
        <v>150</v>
      </c>
      <c r="I110" s="12" t="s">
        <v>150</v>
      </c>
      <c r="J110" s="4" t="s">
        <v>127</v>
      </c>
      <c r="K110" s="4" t="s">
        <v>130</v>
      </c>
      <c r="L110" s="12" t="s">
        <v>131</v>
      </c>
      <c r="M110" s="12" t="s">
        <v>132</v>
      </c>
      <c r="N110" s="4" t="s">
        <v>436</v>
      </c>
      <c r="O110" s="9" t="s">
        <v>304</v>
      </c>
      <c r="P110" s="9" t="s">
        <v>305</v>
      </c>
      <c r="Q110" s="9" t="s">
        <v>306</v>
      </c>
      <c r="R110" s="9" t="s">
        <v>307</v>
      </c>
      <c r="Y110" s="10">
        <f>IF(S110="", "", IF(W110="Green", S110+30, IF(W110="Yellow", S110+7, IF(W110="Red", S110+2, ""))))</f>
        <v>0</v>
      </c>
      <c r="Z110" s="11">
        <f>IF(Y110="", "", (Y110-TODAY()) * 50 - V110 * 10 - G110 * 5 + IF(W110="Red", -20, IF(W110="Yellow", -10, 0)) - IFERROR(INDEX(Analytics!$F$5:$F$20, MATCH(C110, Analytics!$A$5:$A$20, 0)) * 5, 0) + MOD(A110, 7))</f>
        <v>0</v>
      </c>
    </row>
    <row r="111" spans="1:26">
      <c r="A111" s="11">
        <v>110</v>
      </c>
      <c r="B111" s="4" t="s">
        <v>464</v>
      </c>
      <c r="C111" s="12" t="s">
        <v>59</v>
      </c>
      <c r="D111" s="12" t="s">
        <v>59</v>
      </c>
      <c r="E111" s="12" t="s">
        <v>35</v>
      </c>
      <c r="F111" s="11">
        <v>40</v>
      </c>
      <c r="G111" s="11">
        <v>9</v>
      </c>
      <c r="H111" s="12" t="s">
        <v>117</v>
      </c>
      <c r="I111" s="12" t="s">
        <v>117</v>
      </c>
      <c r="J111" s="4" t="s">
        <v>127</v>
      </c>
      <c r="K111" s="4" t="s">
        <v>130</v>
      </c>
      <c r="L111" s="12" t="s">
        <v>131</v>
      </c>
      <c r="M111" s="12" t="s">
        <v>132</v>
      </c>
      <c r="N111" s="4" t="s">
        <v>332</v>
      </c>
      <c r="O111" s="9" t="s">
        <v>304</v>
      </c>
      <c r="P111" s="9" t="s">
        <v>305</v>
      </c>
      <c r="Q111" s="9" t="s">
        <v>306</v>
      </c>
      <c r="R111" s="9" t="s">
        <v>307</v>
      </c>
      <c r="Y111" s="10">
        <f>IF(S111="", "", IF(W111="Green", S111+30, IF(W111="Yellow", S111+7, IF(W111="Red", S111+2, ""))))</f>
        <v>0</v>
      </c>
      <c r="Z111" s="11">
        <f>IF(Y111="", "", (Y111-TODAY()) * 50 - V111 * 10 - G111 * 5 + IF(W111="Red", -20, IF(W111="Yellow", -10, 0)) - IFERROR(INDEX(Analytics!$F$5:$F$20, MATCH(C111, Analytics!$A$5:$A$20, 0)) * 5, 0) + MOD(A111, 7))</f>
        <v>0</v>
      </c>
    </row>
    <row r="112" spans="1:26">
      <c r="A112" s="11">
        <v>111</v>
      </c>
      <c r="B112" s="4" t="s">
        <v>465</v>
      </c>
      <c r="C112" s="12" t="s">
        <v>59</v>
      </c>
      <c r="D112" s="12" t="s">
        <v>59</v>
      </c>
      <c r="E112" s="12" t="s">
        <v>35</v>
      </c>
      <c r="F112" s="11">
        <v>40</v>
      </c>
      <c r="G112" s="11">
        <v>9</v>
      </c>
      <c r="H112" s="12" t="s">
        <v>150</v>
      </c>
      <c r="I112" s="12" t="s">
        <v>117</v>
      </c>
      <c r="J112" s="4" t="s">
        <v>127</v>
      </c>
      <c r="K112" s="4" t="s">
        <v>130</v>
      </c>
      <c r="L112" s="12" t="s">
        <v>131</v>
      </c>
      <c r="M112" s="12" t="s">
        <v>132</v>
      </c>
      <c r="N112" s="4" t="s">
        <v>324</v>
      </c>
      <c r="O112" s="9" t="s">
        <v>304</v>
      </c>
      <c r="P112" s="9" t="s">
        <v>305</v>
      </c>
      <c r="Q112" s="9" t="s">
        <v>306</v>
      </c>
      <c r="R112" s="9" t="s">
        <v>307</v>
      </c>
      <c r="Y112" s="10">
        <f>IF(S112="", "", IF(W112="Green", S112+30, IF(W112="Yellow", S112+7, IF(W112="Red", S112+2, ""))))</f>
        <v>0</v>
      </c>
      <c r="Z112" s="11">
        <f>IF(Y112="", "", (Y112-TODAY()) * 50 - V112 * 10 - G112 * 5 + IF(W112="Red", -20, IF(W112="Yellow", -10, 0)) - IFERROR(INDEX(Analytics!$F$5:$F$20, MATCH(C112, Analytics!$A$5:$A$20, 0)) * 5, 0) + MOD(A112, 7))</f>
        <v>0</v>
      </c>
    </row>
    <row r="113" spans="1:26">
      <c r="A113" s="11">
        <v>112</v>
      </c>
      <c r="B113" s="4" t="s">
        <v>466</v>
      </c>
      <c r="C113" s="12" t="s">
        <v>59</v>
      </c>
      <c r="D113" s="12" t="s">
        <v>59</v>
      </c>
      <c r="E113" s="12" t="s">
        <v>35</v>
      </c>
      <c r="F113" s="11">
        <v>40</v>
      </c>
      <c r="G113" s="11">
        <v>8</v>
      </c>
      <c r="H113" s="12" t="s">
        <v>317</v>
      </c>
      <c r="I113" s="12" t="s">
        <v>150</v>
      </c>
      <c r="J113" s="4" t="s">
        <v>127</v>
      </c>
      <c r="K113" s="4" t="s">
        <v>130</v>
      </c>
      <c r="L113" s="12" t="s">
        <v>131</v>
      </c>
      <c r="M113" s="12" t="s">
        <v>132</v>
      </c>
      <c r="N113" s="4" t="s">
        <v>386</v>
      </c>
      <c r="O113" s="9" t="s">
        <v>304</v>
      </c>
      <c r="P113" s="9" t="s">
        <v>305</v>
      </c>
      <c r="Q113" s="9" t="s">
        <v>306</v>
      </c>
      <c r="R113" s="9" t="s">
        <v>307</v>
      </c>
      <c r="Y113" s="10">
        <f>IF(S113="", "", IF(W113="Green", S113+30, IF(W113="Yellow", S113+7, IF(W113="Red", S113+2, ""))))</f>
        <v>0</v>
      </c>
      <c r="Z113" s="11">
        <f>IF(Y113="", "", (Y113-TODAY()) * 50 - V113 * 10 - G113 * 5 + IF(W113="Red", -20, IF(W113="Yellow", -10, 0)) - IFERROR(INDEX(Analytics!$F$5:$F$20, MATCH(C113, Analytics!$A$5:$A$20, 0)) * 5, 0) + MOD(A113, 7))</f>
        <v>0</v>
      </c>
    </row>
    <row r="114" spans="1:26">
      <c r="A114" s="11">
        <v>113</v>
      </c>
      <c r="B114" s="4" t="s">
        <v>467</v>
      </c>
      <c r="C114" s="12" t="s">
        <v>59</v>
      </c>
      <c r="D114" s="12" t="s">
        <v>59</v>
      </c>
      <c r="E114" s="12" t="s">
        <v>35</v>
      </c>
      <c r="F114" s="11">
        <v>40</v>
      </c>
      <c r="G114" s="11">
        <v>8</v>
      </c>
      <c r="H114" s="12" t="s">
        <v>317</v>
      </c>
      <c r="I114" s="12" t="s">
        <v>150</v>
      </c>
      <c r="J114" s="4" t="s">
        <v>127</v>
      </c>
      <c r="K114" s="4" t="s">
        <v>130</v>
      </c>
      <c r="L114" s="12" t="s">
        <v>131</v>
      </c>
      <c r="M114" s="12" t="s">
        <v>132</v>
      </c>
      <c r="N114" s="4" t="s">
        <v>362</v>
      </c>
      <c r="O114" s="9" t="s">
        <v>304</v>
      </c>
      <c r="P114" s="9" t="s">
        <v>305</v>
      </c>
      <c r="Q114" s="9" t="s">
        <v>306</v>
      </c>
      <c r="R114" s="9" t="s">
        <v>307</v>
      </c>
      <c r="Y114" s="10">
        <f>IF(S114="", "", IF(W114="Green", S114+30, IF(W114="Yellow", S114+7, IF(W114="Red", S114+2, ""))))</f>
        <v>0</v>
      </c>
      <c r="Z114" s="11">
        <f>IF(Y114="", "", (Y114-TODAY()) * 50 - V114 * 10 - G114 * 5 + IF(W114="Red", -20, IF(W114="Yellow", -10, 0)) - IFERROR(INDEX(Analytics!$F$5:$F$20, MATCH(C114, Analytics!$A$5:$A$20, 0)) * 5, 0) + MOD(A114, 7))</f>
        <v>0</v>
      </c>
    </row>
    <row r="115" spans="1:26">
      <c r="A115" s="11">
        <v>114</v>
      </c>
      <c r="B115" s="4" t="s">
        <v>468</v>
      </c>
      <c r="C115" s="12" t="s">
        <v>59</v>
      </c>
      <c r="D115" s="12" t="s">
        <v>59</v>
      </c>
      <c r="E115" s="12" t="s">
        <v>35</v>
      </c>
      <c r="F115" s="11">
        <v>40</v>
      </c>
      <c r="G115" s="11">
        <v>8</v>
      </c>
      <c r="H115" s="12" t="s">
        <v>317</v>
      </c>
      <c r="I115" s="12" t="s">
        <v>150</v>
      </c>
      <c r="J115" s="4" t="s">
        <v>127</v>
      </c>
      <c r="K115" s="4" t="s">
        <v>130</v>
      </c>
      <c r="L115" s="12" t="s">
        <v>131</v>
      </c>
      <c r="M115" s="12" t="s">
        <v>132</v>
      </c>
      <c r="N115" s="4" t="s">
        <v>469</v>
      </c>
      <c r="O115" s="9" t="s">
        <v>304</v>
      </c>
      <c r="P115" s="9" t="s">
        <v>305</v>
      </c>
      <c r="Q115" s="9" t="s">
        <v>306</v>
      </c>
      <c r="R115" s="9" t="s">
        <v>307</v>
      </c>
      <c r="Y115" s="10">
        <f>IF(S115="", "", IF(W115="Green", S115+30, IF(W115="Yellow", S115+7, IF(W115="Red", S115+2, ""))))</f>
        <v>0</v>
      </c>
      <c r="Z115" s="11">
        <f>IF(Y115="", "", (Y115-TODAY()) * 50 - V115 * 10 - G115 * 5 + IF(W115="Red", -20, IF(W115="Yellow", -10, 0)) - IFERROR(INDEX(Analytics!$F$5:$F$20, MATCH(C115, Analytics!$A$5:$A$20, 0)) * 5, 0) + MOD(A115, 7))</f>
        <v>0</v>
      </c>
    </row>
    <row r="116" spans="1:26">
      <c r="A116" s="11">
        <v>115</v>
      </c>
      <c r="B116" s="4" t="s">
        <v>470</v>
      </c>
      <c r="C116" s="12" t="s">
        <v>59</v>
      </c>
      <c r="D116" s="12" t="s">
        <v>59</v>
      </c>
      <c r="E116" s="12" t="s">
        <v>35</v>
      </c>
      <c r="F116" s="11">
        <v>40</v>
      </c>
      <c r="G116" s="11">
        <v>9</v>
      </c>
      <c r="H116" s="12" t="s">
        <v>150</v>
      </c>
      <c r="I116" s="12" t="s">
        <v>117</v>
      </c>
      <c r="J116" s="4" t="s">
        <v>127</v>
      </c>
      <c r="K116" s="4" t="s">
        <v>130</v>
      </c>
      <c r="L116" s="12" t="s">
        <v>131</v>
      </c>
      <c r="M116" s="12" t="s">
        <v>132</v>
      </c>
      <c r="N116" s="4" t="s">
        <v>336</v>
      </c>
      <c r="O116" s="9" t="s">
        <v>304</v>
      </c>
      <c r="P116" s="9" t="s">
        <v>305</v>
      </c>
      <c r="Q116" s="9" t="s">
        <v>306</v>
      </c>
      <c r="R116" s="9" t="s">
        <v>307</v>
      </c>
      <c r="Y116" s="10">
        <f>IF(S116="", "", IF(W116="Green", S116+30, IF(W116="Yellow", S116+7, IF(W116="Red", S116+2, ""))))</f>
        <v>0</v>
      </c>
      <c r="Z116" s="11">
        <f>IF(Y116="", "", (Y116-TODAY()) * 50 - V116 * 10 - G116 * 5 + IF(W116="Red", -20, IF(W116="Yellow", -10, 0)) - IFERROR(INDEX(Analytics!$F$5:$F$20, MATCH(C116, Analytics!$A$5:$A$20, 0)) * 5, 0) + MOD(A116, 7))</f>
        <v>0</v>
      </c>
    </row>
    <row r="117" spans="1:26">
      <c r="A117" s="11">
        <v>116</v>
      </c>
      <c r="B117" s="4" t="s">
        <v>471</v>
      </c>
      <c r="C117" s="12" t="s">
        <v>59</v>
      </c>
      <c r="D117" s="12" t="s">
        <v>59</v>
      </c>
      <c r="E117" s="12" t="s">
        <v>35</v>
      </c>
      <c r="F117" s="11">
        <v>40</v>
      </c>
      <c r="G117" s="11">
        <v>7</v>
      </c>
      <c r="H117" s="12" t="s">
        <v>317</v>
      </c>
      <c r="I117" s="12" t="s">
        <v>150</v>
      </c>
      <c r="J117" s="4" t="s">
        <v>127</v>
      </c>
      <c r="K117" s="4" t="s">
        <v>130</v>
      </c>
      <c r="L117" s="12" t="s">
        <v>131</v>
      </c>
      <c r="M117" s="12" t="s">
        <v>132</v>
      </c>
      <c r="N117" s="4" t="s">
        <v>66</v>
      </c>
      <c r="O117" s="9" t="s">
        <v>304</v>
      </c>
      <c r="P117" s="9" t="s">
        <v>305</v>
      </c>
      <c r="Q117" s="9" t="s">
        <v>306</v>
      </c>
      <c r="R117" s="9" t="s">
        <v>307</v>
      </c>
      <c r="Y117" s="10">
        <f>IF(S117="", "", IF(W117="Green", S117+30, IF(W117="Yellow", S117+7, IF(W117="Red", S117+2, ""))))</f>
        <v>0</v>
      </c>
      <c r="Z117" s="11">
        <f>IF(Y117="", "", (Y117-TODAY()) * 50 - V117 * 10 - G117 * 5 + IF(W117="Red", -20, IF(W117="Yellow", -10, 0)) - IFERROR(INDEX(Analytics!$F$5:$F$20, MATCH(C117, Analytics!$A$5:$A$20, 0)) * 5, 0) + MOD(A117, 7))</f>
        <v>0</v>
      </c>
    </row>
    <row r="118" spans="1:26">
      <c r="A118" s="11">
        <v>117</v>
      </c>
      <c r="B118" s="4" t="s">
        <v>472</v>
      </c>
      <c r="C118" s="12" t="s">
        <v>59</v>
      </c>
      <c r="D118" s="12" t="s">
        <v>59</v>
      </c>
      <c r="E118" s="12" t="s">
        <v>36</v>
      </c>
      <c r="F118" s="11">
        <v>60</v>
      </c>
      <c r="G118" s="11">
        <v>8</v>
      </c>
      <c r="H118" s="12" t="s">
        <v>317</v>
      </c>
      <c r="I118" s="12" t="s">
        <v>150</v>
      </c>
      <c r="J118" s="4" t="s">
        <v>127</v>
      </c>
      <c r="K118" s="4" t="s">
        <v>130</v>
      </c>
      <c r="L118" s="12" t="s">
        <v>131</v>
      </c>
      <c r="M118" s="12" t="s">
        <v>132</v>
      </c>
      <c r="N118" s="4" t="s">
        <v>73</v>
      </c>
      <c r="O118" s="9" t="s">
        <v>304</v>
      </c>
      <c r="P118" s="9" t="s">
        <v>305</v>
      </c>
      <c r="Q118" s="9" t="s">
        <v>306</v>
      </c>
      <c r="R118" s="9" t="s">
        <v>307</v>
      </c>
      <c r="Y118" s="10">
        <f>IF(S118="", "", IF(W118="Green", S118+30, IF(W118="Yellow", S118+7, IF(W118="Red", S118+2, ""))))</f>
        <v>0</v>
      </c>
      <c r="Z118" s="11">
        <f>IF(Y118="", "", (Y118-TODAY()) * 50 - V118 * 10 - G118 * 5 + IF(W118="Red", -20, IF(W118="Yellow", -10, 0)) - IFERROR(INDEX(Analytics!$F$5:$F$20, MATCH(C118, Analytics!$A$5:$A$20, 0)) * 5, 0) + MOD(A118, 7))</f>
        <v>0</v>
      </c>
    </row>
    <row r="119" spans="1:26">
      <c r="A119" s="11">
        <v>118</v>
      </c>
      <c r="B119" s="4" t="s">
        <v>473</v>
      </c>
      <c r="C119" s="12" t="s">
        <v>59</v>
      </c>
      <c r="D119" s="12" t="s">
        <v>59</v>
      </c>
      <c r="E119" s="12" t="s">
        <v>36</v>
      </c>
      <c r="F119" s="11">
        <v>60</v>
      </c>
      <c r="G119" s="11">
        <v>8</v>
      </c>
      <c r="H119" s="12" t="s">
        <v>317</v>
      </c>
      <c r="I119" s="12" t="s">
        <v>150</v>
      </c>
      <c r="J119" s="4" t="s">
        <v>127</v>
      </c>
      <c r="K119" s="4" t="s">
        <v>130</v>
      </c>
      <c r="L119" s="12" t="s">
        <v>131</v>
      </c>
      <c r="M119" s="12" t="s">
        <v>132</v>
      </c>
      <c r="N119" s="4" t="s">
        <v>324</v>
      </c>
      <c r="O119" s="9" t="s">
        <v>304</v>
      </c>
      <c r="P119" s="9" t="s">
        <v>305</v>
      </c>
      <c r="Q119" s="9" t="s">
        <v>306</v>
      </c>
      <c r="R119" s="9" t="s">
        <v>307</v>
      </c>
      <c r="Y119" s="10">
        <f>IF(S119="", "", IF(W119="Green", S119+30, IF(W119="Yellow", S119+7, IF(W119="Red", S119+2, ""))))</f>
        <v>0</v>
      </c>
      <c r="Z119" s="11">
        <f>IF(Y119="", "", (Y119-TODAY()) * 50 - V119 * 10 - G119 * 5 + IF(W119="Red", -20, IF(W119="Yellow", -10, 0)) - IFERROR(INDEX(Analytics!$F$5:$F$20, MATCH(C119, Analytics!$A$5:$A$20, 0)) * 5, 0) + MOD(A119, 7))</f>
        <v>0</v>
      </c>
    </row>
    <row r="120" spans="1:26">
      <c r="A120" s="11">
        <v>119</v>
      </c>
      <c r="B120" s="4" t="s">
        <v>474</v>
      </c>
      <c r="C120" s="12" t="s">
        <v>63</v>
      </c>
      <c r="D120" s="12" t="s">
        <v>63</v>
      </c>
      <c r="E120" s="12" t="s">
        <v>34</v>
      </c>
      <c r="F120" s="11">
        <v>20</v>
      </c>
      <c r="G120" s="11">
        <v>10</v>
      </c>
      <c r="H120" s="12" t="s">
        <v>117</v>
      </c>
      <c r="I120" s="12" t="s">
        <v>117</v>
      </c>
      <c r="J120" s="4" t="s">
        <v>136</v>
      </c>
      <c r="K120" s="4" t="s">
        <v>139</v>
      </c>
      <c r="L120" s="12" t="s">
        <v>131</v>
      </c>
      <c r="M120" s="12" t="s">
        <v>140</v>
      </c>
      <c r="N120" s="4" t="s">
        <v>421</v>
      </c>
      <c r="O120" s="9" t="s">
        <v>304</v>
      </c>
      <c r="P120" s="9" t="s">
        <v>305</v>
      </c>
      <c r="Q120" s="9" t="s">
        <v>306</v>
      </c>
      <c r="R120" s="9" t="s">
        <v>307</v>
      </c>
      <c r="Y120" s="10">
        <f>IF(S120="", "", IF(W120="Green", S120+30, IF(W120="Yellow", S120+7, IF(W120="Red", S120+2, ""))))</f>
        <v>0</v>
      </c>
      <c r="Z120" s="11">
        <f>IF(Y120="", "", (Y120-TODAY()) * 50 - V120 * 10 - G120 * 5 + IF(W120="Red", -20, IF(W120="Yellow", -10, 0)) - IFERROR(INDEX(Analytics!$F$5:$F$20, MATCH(C120, Analytics!$A$5:$A$20, 0)) * 5, 0) + MOD(A120, 7))</f>
        <v>0</v>
      </c>
    </row>
    <row r="121" spans="1:26">
      <c r="A121" s="11">
        <v>120</v>
      </c>
      <c r="B121" s="4" t="s">
        <v>475</v>
      </c>
      <c r="C121" s="12" t="s">
        <v>63</v>
      </c>
      <c r="D121" s="12" t="s">
        <v>63</v>
      </c>
      <c r="E121" s="12" t="s">
        <v>34</v>
      </c>
      <c r="F121" s="11">
        <v>20</v>
      </c>
      <c r="G121" s="11">
        <v>9</v>
      </c>
      <c r="H121" s="12" t="s">
        <v>150</v>
      </c>
      <c r="I121" s="12" t="s">
        <v>117</v>
      </c>
      <c r="J121" s="4" t="s">
        <v>136</v>
      </c>
      <c r="K121" s="4" t="s">
        <v>139</v>
      </c>
      <c r="L121" s="12" t="s">
        <v>131</v>
      </c>
      <c r="M121" s="12" t="s">
        <v>140</v>
      </c>
      <c r="N121" s="4" t="s">
        <v>423</v>
      </c>
      <c r="O121" s="9" t="s">
        <v>304</v>
      </c>
      <c r="P121" s="9" t="s">
        <v>305</v>
      </c>
      <c r="Q121" s="9" t="s">
        <v>306</v>
      </c>
      <c r="R121" s="9" t="s">
        <v>307</v>
      </c>
      <c r="Y121" s="10">
        <f>IF(S121="", "", IF(W121="Green", S121+30, IF(W121="Yellow", S121+7, IF(W121="Red", S121+2, ""))))</f>
        <v>0</v>
      </c>
      <c r="Z121" s="11">
        <f>IF(Y121="", "", (Y121-TODAY()) * 50 - V121 * 10 - G121 * 5 + IF(W121="Red", -20, IF(W121="Yellow", -10, 0)) - IFERROR(INDEX(Analytics!$F$5:$F$20, MATCH(C121, Analytics!$A$5:$A$20, 0)) * 5, 0) + MOD(A121, 7))</f>
        <v>0</v>
      </c>
    </row>
    <row r="122" spans="1:26">
      <c r="A122" s="11">
        <v>121</v>
      </c>
      <c r="B122" s="4" t="s">
        <v>476</v>
      </c>
      <c r="C122" s="12" t="s">
        <v>63</v>
      </c>
      <c r="D122" s="12" t="s">
        <v>63</v>
      </c>
      <c r="E122" s="12" t="s">
        <v>34</v>
      </c>
      <c r="F122" s="11">
        <v>20</v>
      </c>
      <c r="G122" s="11">
        <v>9</v>
      </c>
      <c r="H122" s="12" t="s">
        <v>117</v>
      </c>
      <c r="I122" s="12" t="s">
        <v>117</v>
      </c>
      <c r="J122" s="4" t="s">
        <v>136</v>
      </c>
      <c r="K122" s="4" t="s">
        <v>139</v>
      </c>
      <c r="L122" s="12" t="s">
        <v>131</v>
      </c>
      <c r="M122" s="12" t="s">
        <v>140</v>
      </c>
      <c r="N122" s="4" t="s">
        <v>477</v>
      </c>
      <c r="O122" s="9" t="s">
        <v>304</v>
      </c>
      <c r="P122" s="9" t="s">
        <v>305</v>
      </c>
      <c r="Q122" s="9" t="s">
        <v>306</v>
      </c>
      <c r="R122" s="9" t="s">
        <v>307</v>
      </c>
      <c r="Y122" s="10">
        <f>IF(S122="", "", IF(W122="Green", S122+30, IF(W122="Yellow", S122+7, IF(W122="Red", S122+2, ""))))</f>
        <v>0</v>
      </c>
      <c r="Z122" s="11">
        <f>IF(Y122="", "", (Y122-TODAY()) * 50 - V122 * 10 - G122 * 5 + IF(W122="Red", -20, IF(W122="Yellow", -10, 0)) - IFERROR(INDEX(Analytics!$F$5:$F$20, MATCH(C122, Analytics!$A$5:$A$20, 0)) * 5, 0) + MOD(A122, 7))</f>
        <v>0</v>
      </c>
    </row>
    <row r="123" spans="1:26">
      <c r="A123" s="11">
        <v>122</v>
      </c>
      <c r="B123" s="4" t="s">
        <v>478</v>
      </c>
      <c r="C123" s="12" t="s">
        <v>63</v>
      </c>
      <c r="D123" s="12" t="s">
        <v>63</v>
      </c>
      <c r="E123" s="12" t="s">
        <v>35</v>
      </c>
      <c r="F123" s="11">
        <v>40</v>
      </c>
      <c r="G123" s="11">
        <v>10</v>
      </c>
      <c r="H123" s="12" t="s">
        <v>117</v>
      </c>
      <c r="I123" s="12" t="s">
        <v>117</v>
      </c>
      <c r="J123" s="4" t="s">
        <v>136</v>
      </c>
      <c r="K123" s="4" t="s">
        <v>139</v>
      </c>
      <c r="L123" s="12" t="s">
        <v>131</v>
      </c>
      <c r="M123" s="12" t="s">
        <v>140</v>
      </c>
      <c r="N123" s="4" t="s">
        <v>404</v>
      </c>
      <c r="O123" s="9" t="s">
        <v>304</v>
      </c>
      <c r="P123" s="9" t="s">
        <v>305</v>
      </c>
      <c r="Q123" s="9" t="s">
        <v>306</v>
      </c>
      <c r="R123" s="9" t="s">
        <v>307</v>
      </c>
      <c r="Y123" s="10">
        <f>IF(S123="", "", IF(W123="Green", S123+30, IF(W123="Yellow", S123+7, IF(W123="Red", S123+2, ""))))</f>
        <v>0</v>
      </c>
      <c r="Z123" s="11">
        <f>IF(Y123="", "", (Y123-TODAY()) * 50 - V123 * 10 - G123 * 5 + IF(W123="Red", -20, IF(W123="Yellow", -10, 0)) - IFERROR(INDEX(Analytics!$F$5:$F$20, MATCH(C123, Analytics!$A$5:$A$20, 0)) * 5, 0) + MOD(A123, 7))</f>
        <v>0</v>
      </c>
    </row>
    <row r="124" spans="1:26">
      <c r="A124" s="11">
        <v>123</v>
      </c>
      <c r="B124" s="4" t="s">
        <v>479</v>
      </c>
      <c r="C124" s="12" t="s">
        <v>63</v>
      </c>
      <c r="D124" s="12" t="s">
        <v>63</v>
      </c>
      <c r="E124" s="12" t="s">
        <v>35</v>
      </c>
      <c r="F124" s="11">
        <v>40</v>
      </c>
      <c r="G124" s="11">
        <v>10</v>
      </c>
      <c r="H124" s="12" t="s">
        <v>117</v>
      </c>
      <c r="I124" s="12" t="s">
        <v>117</v>
      </c>
      <c r="J124" s="4" t="s">
        <v>136</v>
      </c>
      <c r="K124" s="4" t="s">
        <v>139</v>
      </c>
      <c r="L124" s="12" t="s">
        <v>131</v>
      </c>
      <c r="M124" s="12" t="s">
        <v>140</v>
      </c>
      <c r="N124" s="4" t="s">
        <v>315</v>
      </c>
      <c r="O124" s="9" t="s">
        <v>304</v>
      </c>
      <c r="P124" s="9" t="s">
        <v>305</v>
      </c>
      <c r="Q124" s="9" t="s">
        <v>306</v>
      </c>
      <c r="R124" s="9" t="s">
        <v>307</v>
      </c>
      <c r="Y124" s="10">
        <f>IF(S124="", "", IF(W124="Green", S124+30, IF(W124="Yellow", S124+7, IF(W124="Red", S124+2, ""))))</f>
        <v>0</v>
      </c>
      <c r="Z124" s="11">
        <f>IF(Y124="", "", (Y124-TODAY()) * 50 - V124 * 10 - G124 * 5 + IF(W124="Red", -20, IF(W124="Yellow", -10, 0)) - IFERROR(INDEX(Analytics!$F$5:$F$20, MATCH(C124, Analytics!$A$5:$A$20, 0)) * 5, 0) + MOD(A124, 7))</f>
        <v>0</v>
      </c>
    </row>
    <row r="125" spans="1:26">
      <c r="A125" s="11">
        <v>124</v>
      </c>
      <c r="B125" s="4" t="s">
        <v>480</v>
      </c>
      <c r="C125" s="12" t="s">
        <v>63</v>
      </c>
      <c r="D125" s="12" t="s">
        <v>63</v>
      </c>
      <c r="E125" s="12" t="s">
        <v>36</v>
      </c>
      <c r="F125" s="11">
        <v>60</v>
      </c>
      <c r="G125" s="11">
        <v>10</v>
      </c>
      <c r="H125" s="12" t="s">
        <v>117</v>
      </c>
      <c r="I125" s="12" t="s">
        <v>117</v>
      </c>
      <c r="J125" s="4" t="s">
        <v>136</v>
      </c>
      <c r="K125" s="4" t="s">
        <v>139</v>
      </c>
      <c r="L125" s="12" t="s">
        <v>131</v>
      </c>
      <c r="M125" s="12" t="s">
        <v>140</v>
      </c>
      <c r="N125" s="4" t="s">
        <v>481</v>
      </c>
      <c r="O125" s="9" t="s">
        <v>304</v>
      </c>
      <c r="P125" s="9" t="s">
        <v>305</v>
      </c>
      <c r="Q125" s="9" t="s">
        <v>306</v>
      </c>
      <c r="R125" s="9" t="s">
        <v>307</v>
      </c>
      <c r="Y125" s="10">
        <f>IF(S125="", "", IF(W125="Green", S125+30, IF(W125="Yellow", S125+7, IF(W125="Red", S125+2, ""))))</f>
        <v>0</v>
      </c>
      <c r="Z125" s="11">
        <f>IF(Y125="", "", (Y125-TODAY()) * 50 - V125 * 10 - G125 * 5 + IF(W125="Red", -20, IF(W125="Yellow", -10, 0)) - IFERROR(INDEX(Analytics!$F$5:$F$20, MATCH(C125, Analytics!$A$5:$A$20, 0)) * 5, 0) + MOD(A125, 7))</f>
        <v>0</v>
      </c>
    </row>
    <row r="126" spans="1:26">
      <c r="A126" s="11">
        <v>125</v>
      </c>
      <c r="B126" s="4" t="s">
        <v>482</v>
      </c>
      <c r="C126" s="12" t="s">
        <v>63</v>
      </c>
      <c r="D126" s="12" t="s">
        <v>63</v>
      </c>
      <c r="E126" s="12" t="s">
        <v>35</v>
      </c>
      <c r="F126" s="11">
        <v>40</v>
      </c>
      <c r="G126" s="11">
        <v>8</v>
      </c>
      <c r="H126" s="12" t="s">
        <v>150</v>
      </c>
      <c r="I126" s="12" t="s">
        <v>150</v>
      </c>
      <c r="J126" s="4" t="s">
        <v>136</v>
      </c>
      <c r="K126" s="4" t="s">
        <v>139</v>
      </c>
      <c r="L126" s="12" t="s">
        <v>131</v>
      </c>
      <c r="M126" s="12" t="s">
        <v>140</v>
      </c>
      <c r="N126" s="4" t="s">
        <v>348</v>
      </c>
      <c r="O126" s="9" t="s">
        <v>304</v>
      </c>
      <c r="P126" s="9" t="s">
        <v>305</v>
      </c>
      <c r="Q126" s="9" t="s">
        <v>306</v>
      </c>
      <c r="R126" s="9" t="s">
        <v>307</v>
      </c>
      <c r="Y126" s="10">
        <f>IF(S126="", "", IF(W126="Green", S126+30, IF(W126="Yellow", S126+7, IF(W126="Red", S126+2, ""))))</f>
        <v>0</v>
      </c>
      <c r="Z126" s="11">
        <f>IF(Y126="", "", (Y126-TODAY()) * 50 - V126 * 10 - G126 * 5 + IF(W126="Red", -20, IF(W126="Yellow", -10, 0)) - IFERROR(INDEX(Analytics!$F$5:$F$20, MATCH(C126, Analytics!$A$5:$A$20, 0)) * 5, 0) + MOD(A126, 7))</f>
        <v>0</v>
      </c>
    </row>
    <row r="127" spans="1:26">
      <c r="A127" s="11">
        <v>126</v>
      </c>
      <c r="B127" s="4" t="s">
        <v>483</v>
      </c>
      <c r="C127" s="12" t="s">
        <v>63</v>
      </c>
      <c r="D127" s="12" t="s">
        <v>63</v>
      </c>
      <c r="E127" s="12" t="s">
        <v>35</v>
      </c>
      <c r="F127" s="11">
        <v>40</v>
      </c>
      <c r="G127" s="11">
        <v>9</v>
      </c>
      <c r="H127" s="12" t="s">
        <v>150</v>
      </c>
      <c r="I127" s="12" t="s">
        <v>117</v>
      </c>
      <c r="J127" s="4" t="s">
        <v>136</v>
      </c>
      <c r="K127" s="4" t="s">
        <v>139</v>
      </c>
      <c r="L127" s="12" t="s">
        <v>131</v>
      </c>
      <c r="M127" s="12" t="s">
        <v>140</v>
      </c>
      <c r="N127" s="4" t="s">
        <v>328</v>
      </c>
      <c r="O127" s="9" t="s">
        <v>304</v>
      </c>
      <c r="P127" s="9" t="s">
        <v>305</v>
      </c>
      <c r="Q127" s="9" t="s">
        <v>306</v>
      </c>
      <c r="R127" s="9" t="s">
        <v>307</v>
      </c>
      <c r="Y127" s="10">
        <f>IF(S127="", "", IF(W127="Green", S127+30, IF(W127="Yellow", S127+7, IF(W127="Red", S127+2, ""))))</f>
        <v>0</v>
      </c>
      <c r="Z127" s="11">
        <f>IF(Y127="", "", (Y127-TODAY()) * 50 - V127 * 10 - G127 * 5 + IF(W127="Red", -20, IF(W127="Yellow", -10, 0)) - IFERROR(INDEX(Analytics!$F$5:$F$20, MATCH(C127, Analytics!$A$5:$A$20, 0)) * 5, 0) + MOD(A127, 7))</f>
        <v>0</v>
      </c>
    </row>
    <row r="128" spans="1:26">
      <c r="A128" s="11">
        <v>127</v>
      </c>
      <c r="B128" s="4" t="s">
        <v>484</v>
      </c>
      <c r="C128" s="12" t="s">
        <v>63</v>
      </c>
      <c r="D128" s="12" t="s">
        <v>63</v>
      </c>
      <c r="E128" s="12" t="s">
        <v>35</v>
      </c>
      <c r="F128" s="11">
        <v>40</v>
      </c>
      <c r="G128" s="11">
        <v>10</v>
      </c>
      <c r="H128" s="12" t="s">
        <v>117</v>
      </c>
      <c r="I128" s="12" t="s">
        <v>117</v>
      </c>
      <c r="J128" s="4" t="s">
        <v>136</v>
      </c>
      <c r="K128" s="4" t="s">
        <v>139</v>
      </c>
      <c r="L128" s="12" t="s">
        <v>131</v>
      </c>
      <c r="M128" s="12" t="s">
        <v>140</v>
      </c>
      <c r="N128" s="4" t="s">
        <v>485</v>
      </c>
      <c r="O128" s="9" t="s">
        <v>304</v>
      </c>
      <c r="P128" s="9" t="s">
        <v>305</v>
      </c>
      <c r="Q128" s="9" t="s">
        <v>306</v>
      </c>
      <c r="R128" s="9" t="s">
        <v>307</v>
      </c>
      <c r="Y128" s="10">
        <f>IF(S128="", "", IF(W128="Green", S128+30, IF(W128="Yellow", S128+7, IF(W128="Red", S128+2, ""))))</f>
        <v>0</v>
      </c>
      <c r="Z128" s="11">
        <f>IF(Y128="", "", (Y128-TODAY()) * 50 - V128 * 10 - G128 * 5 + IF(W128="Red", -20, IF(W128="Yellow", -10, 0)) - IFERROR(INDEX(Analytics!$F$5:$F$20, MATCH(C128, Analytics!$A$5:$A$20, 0)) * 5, 0) + MOD(A128, 7))</f>
        <v>0</v>
      </c>
    </row>
    <row r="129" spans="1:26">
      <c r="A129" s="11">
        <v>128</v>
      </c>
      <c r="B129" s="4" t="s">
        <v>486</v>
      </c>
      <c r="C129" s="12" t="s">
        <v>63</v>
      </c>
      <c r="D129" s="12" t="s">
        <v>63</v>
      </c>
      <c r="E129" s="12" t="s">
        <v>34</v>
      </c>
      <c r="F129" s="11">
        <v>20</v>
      </c>
      <c r="G129" s="11">
        <v>8</v>
      </c>
      <c r="H129" s="12" t="s">
        <v>150</v>
      </c>
      <c r="I129" s="12" t="s">
        <v>150</v>
      </c>
      <c r="J129" s="4" t="s">
        <v>136</v>
      </c>
      <c r="K129" s="4" t="s">
        <v>139</v>
      </c>
      <c r="L129" s="12" t="s">
        <v>131</v>
      </c>
      <c r="M129" s="12" t="s">
        <v>140</v>
      </c>
      <c r="N129" s="4" t="s">
        <v>354</v>
      </c>
      <c r="O129" s="9" t="s">
        <v>304</v>
      </c>
      <c r="P129" s="9" t="s">
        <v>305</v>
      </c>
      <c r="Q129" s="9" t="s">
        <v>306</v>
      </c>
      <c r="R129" s="9" t="s">
        <v>307</v>
      </c>
      <c r="Y129" s="10">
        <f>IF(S129="", "", IF(W129="Green", S129+30, IF(W129="Yellow", S129+7, IF(W129="Red", S129+2, ""))))</f>
        <v>0</v>
      </c>
      <c r="Z129" s="11">
        <f>IF(Y129="", "", (Y129-TODAY()) * 50 - V129 * 10 - G129 * 5 + IF(W129="Red", -20, IF(W129="Yellow", -10, 0)) - IFERROR(INDEX(Analytics!$F$5:$F$20, MATCH(C129, Analytics!$A$5:$A$20, 0)) * 5, 0) + MOD(A129, 7))</f>
        <v>0</v>
      </c>
    </row>
    <row r="130" spans="1:26">
      <c r="A130" s="11">
        <v>129</v>
      </c>
      <c r="B130" s="4" t="s">
        <v>487</v>
      </c>
      <c r="C130" s="12" t="s">
        <v>63</v>
      </c>
      <c r="D130" s="12" t="s">
        <v>63</v>
      </c>
      <c r="E130" s="12" t="s">
        <v>34</v>
      </c>
      <c r="F130" s="11">
        <v>20</v>
      </c>
      <c r="G130" s="11">
        <v>8</v>
      </c>
      <c r="H130" s="12" t="s">
        <v>317</v>
      </c>
      <c r="I130" s="12" t="s">
        <v>150</v>
      </c>
      <c r="J130" s="4" t="s">
        <v>136</v>
      </c>
      <c r="K130" s="4" t="s">
        <v>139</v>
      </c>
      <c r="L130" s="12" t="s">
        <v>131</v>
      </c>
      <c r="M130" s="12" t="s">
        <v>140</v>
      </c>
      <c r="N130" s="4" t="s">
        <v>386</v>
      </c>
      <c r="O130" s="9" t="s">
        <v>304</v>
      </c>
      <c r="P130" s="9" t="s">
        <v>305</v>
      </c>
      <c r="Q130" s="9" t="s">
        <v>306</v>
      </c>
      <c r="R130" s="9" t="s">
        <v>307</v>
      </c>
      <c r="Y130" s="10">
        <f>IF(S130="", "", IF(W130="Green", S130+30, IF(W130="Yellow", S130+7, IF(W130="Red", S130+2, ""))))</f>
        <v>0</v>
      </c>
      <c r="Z130" s="11">
        <f>IF(Y130="", "", (Y130-TODAY()) * 50 - V130 * 10 - G130 * 5 + IF(W130="Red", -20, IF(W130="Yellow", -10, 0)) - IFERROR(INDEX(Analytics!$F$5:$F$20, MATCH(C130, Analytics!$A$5:$A$20, 0)) * 5, 0) + MOD(A130, 7))</f>
        <v>0</v>
      </c>
    </row>
    <row r="131" spans="1:26">
      <c r="A131" s="11">
        <v>130</v>
      </c>
      <c r="B131" s="4" t="s">
        <v>488</v>
      </c>
      <c r="C131" s="12" t="s">
        <v>63</v>
      </c>
      <c r="D131" s="12" t="s">
        <v>63</v>
      </c>
      <c r="E131" s="12" t="s">
        <v>35</v>
      </c>
      <c r="F131" s="11">
        <v>40</v>
      </c>
      <c r="G131" s="11">
        <v>8</v>
      </c>
      <c r="H131" s="12" t="s">
        <v>317</v>
      </c>
      <c r="I131" s="12" t="s">
        <v>150</v>
      </c>
      <c r="J131" s="4" t="s">
        <v>136</v>
      </c>
      <c r="K131" s="4" t="s">
        <v>139</v>
      </c>
      <c r="L131" s="12" t="s">
        <v>131</v>
      </c>
      <c r="M131" s="12" t="s">
        <v>140</v>
      </c>
      <c r="N131" s="4" t="s">
        <v>75</v>
      </c>
      <c r="O131" s="9" t="s">
        <v>304</v>
      </c>
      <c r="P131" s="9" t="s">
        <v>305</v>
      </c>
      <c r="Q131" s="9" t="s">
        <v>306</v>
      </c>
      <c r="R131" s="9" t="s">
        <v>307</v>
      </c>
      <c r="Y131" s="10">
        <f>IF(S131="", "", IF(W131="Green", S131+30, IF(W131="Yellow", S131+7, IF(W131="Red", S131+2, ""))))</f>
        <v>0</v>
      </c>
      <c r="Z131" s="11">
        <f>IF(Y131="", "", (Y131-TODAY()) * 50 - V131 * 10 - G131 * 5 + IF(W131="Red", -20, IF(W131="Yellow", -10, 0)) - IFERROR(INDEX(Analytics!$F$5:$F$20, MATCH(C131, Analytics!$A$5:$A$20, 0)) * 5, 0) + MOD(A131, 7))</f>
        <v>0</v>
      </c>
    </row>
    <row r="132" spans="1:26">
      <c r="A132" s="11">
        <v>131</v>
      </c>
      <c r="B132" s="4" t="s">
        <v>489</v>
      </c>
      <c r="C132" s="12" t="s">
        <v>63</v>
      </c>
      <c r="D132" s="12" t="s">
        <v>63</v>
      </c>
      <c r="E132" s="12" t="s">
        <v>35</v>
      </c>
      <c r="F132" s="11">
        <v>40</v>
      </c>
      <c r="G132" s="11">
        <v>8</v>
      </c>
      <c r="H132" s="12" t="s">
        <v>317</v>
      </c>
      <c r="I132" s="12" t="s">
        <v>150</v>
      </c>
      <c r="J132" s="4" t="s">
        <v>136</v>
      </c>
      <c r="K132" s="4" t="s">
        <v>139</v>
      </c>
      <c r="L132" s="12" t="s">
        <v>131</v>
      </c>
      <c r="M132" s="12" t="s">
        <v>140</v>
      </c>
      <c r="N132" s="4" t="s">
        <v>324</v>
      </c>
      <c r="O132" s="9" t="s">
        <v>304</v>
      </c>
      <c r="P132" s="9" t="s">
        <v>305</v>
      </c>
      <c r="Q132" s="9" t="s">
        <v>306</v>
      </c>
      <c r="R132" s="9" t="s">
        <v>307</v>
      </c>
      <c r="Y132" s="10">
        <f>IF(S132="", "", IF(W132="Green", S132+30, IF(W132="Yellow", S132+7, IF(W132="Red", S132+2, ""))))</f>
        <v>0</v>
      </c>
      <c r="Z132" s="11">
        <f>IF(Y132="", "", (Y132-TODAY()) * 50 - V132 * 10 - G132 * 5 + IF(W132="Red", -20, IF(W132="Yellow", -10, 0)) - IFERROR(INDEX(Analytics!$F$5:$F$20, MATCH(C132, Analytics!$A$5:$A$20, 0)) * 5, 0) + MOD(A132, 7))</f>
        <v>0</v>
      </c>
    </row>
    <row r="133" spans="1:26">
      <c r="A133" s="11">
        <v>132</v>
      </c>
      <c r="B133" s="4" t="s">
        <v>490</v>
      </c>
      <c r="C133" s="12" t="s">
        <v>63</v>
      </c>
      <c r="D133" s="12" t="s">
        <v>63</v>
      </c>
      <c r="E133" s="12" t="s">
        <v>36</v>
      </c>
      <c r="F133" s="11">
        <v>60</v>
      </c>
      <c r="G133" s="11">
        <v>9</v>
      </c>
      <c r="H133" s="12" t="s">
        <v>117</v>
      </c>
      <c r="I133" s="12" t="s">
        <v>117</v>
      </c>
      <c r="J133" s="4" t="s">
        <v>136</v>
      </c>
      <c r="K133" s="4" t="s">
        <v>139</v>
      </c>
      <c r="L133" s="12" t="s">
        <v>131</v>
      </c>
      <c r="M133" s="12" t="s">
        <v>140</v>
      </c>
      <c r="N133" s="4" t="s">
        <v>336</v>
      </c>
      <c r="O133" s="9" t="s">
        <v>304</v>
      </c>
      <c r="P133" s="9" t="s">
        <v>305</v>
      </c>
      <c r="Q133" s="9" t="s">
        <v>306</v>
      </c>
      <c r="R133" s="9" t="s">
        <v>307</v>
      </c>
      <c r="Y133" s="10">
        <f>IF(S133="", "", IF(W133="Green", S133+30, IF(W133="Yellow", S133+7, IF(W133="Red", S133+2, ""))))</f>
        <v>0</v>
      </c>
      <c r="Z133" s="11">
        <f>IF(Y133="", "", (Y133-TODAY()) * 50 - V133 * 10 - G133 * 5 + IF(W133="Red", -20, IF(W133="Yellow", -10, 0)) - IFERROR(INDEX(Analytics!$F$5:$F$20, MATCH(C133, Analytics!$A$5:$A$20, 0)) * 5, 0) + MOD(A133, 7))</f>
        <v>0</v>
      </c>
    </row>
    <row r="134" spans="1:26">
      <c r="A134" s="11">
        <v>133</v>
      </c>
      <c r="B134" s="4" t="s">
        <v>491</v>
      </c>
      <c r="C134" s="12" t="s">
        <v>63</v>
      </c>
      <c r="D134" s="12" t="s">
        <v>63</v>
      </c>
      <c r="E134" s="12" t="s">
        <v>34</v>
      </c>
      <c r="F134" s="11">
        <v>20</v>
      </c>
      <c r="G134" s="11">
        <v>8</v>
      </c>
      <c r="H134" s="12" t="s">
        <v>317</v>
      </c>
      <c r="I134" s="12" t="s">
        <v>150</v>
      </c>
      <c r="J134" s="4" t="s">
        <v>136</v>
      </c>
      <c r="K134" s="4" t="s">
        <v>139</v>
      </c>
      <c r="L134" s="12" t="s">
        <v>131</v>
      </c>
      <c r="M134" s="12" t="s">
        <v>140</v>
      </c>
      <c r="N134" s="4" t="s">
        <v>362</v>
      </c>
      <c r="O134" s="9" t="s">
        <v>304</v>
      </c>
      <c r="P134" s="9" t="s">
        <v>305</v>
      </c>
      <c r="Q134" s="9" t="s">
        <v>306</v>
      </c>
      <c r="R134" s="9" t="s">
        <v>307</v>
      </c>
      <c r="Y134" s="10">
        <f>IF(S134="", "", IF(W134="Green", S134+30, IF(W134="Yellow", S134+7, IF(W134="Red", S134+2, ""))))</f>
        <v>0</v>
      </c>
      <c r="Z134" s="11">
        <f>IF(Y134="", "", (Y134-TODAY()) * 50 - V134 * 10 - G134 * 5 + IF(W134="Red", -20, IF(W134="Yellow", -10, 0)) - IFERROR(INDEX(Analytics!$F$5:$F$20, MATCH(C134, Analytics!$A$5:$A$20, 0)) * 5, 0) + MOD(A134, 7))</f>
        <v>0</v>
      </c>
    </row>
    <row r="135" spans="1:26">
      <c r="A135" s="11">
        <v>134</v>
      </c>
      <c r="B135" s="4" t="s">
        <v>492</v>
      </c>
      <c r="C135" s="12" t="s">
        <v>53</v>
      </c>
      <c r="D135" s="12" t="s">
        <v>63</v>
      </c>
      <c r="E135" s="12" t="s">
        <v>34</v>
      </c>
      <c r="F135" s="11">
        <v>20</v>
      </c>
      <c r="G135" s="11">
        <v>10</v>
      </c>
      <c r="H135" s="12" t="s">
        <v>117</v>
      </c>
      <c r="I135" s="12" t="s">
        <v>117</v>
      </c>
      <c r="J135" s="4" t="s">
        <v>136</v>
      </c>
      <c r="K135" s="4" t="s">
        <v>139</v>
      </c>
      <c r="L135" s="12" t="s">
        <v>131</v>
      </c>
      <c r="M135" s="12" t="s">
        <v>140</v>
      </c>
      <c r="N135" s="4" t="s">
        <v>421</v>
      </c>
      <c r="O135" s="9" t="s">
        <v>304</v>
      </c>
      <c r="P135" s="9" t="s">
        <v>305</v>
      </c>
      <c r="Q135" s="9" t="s">
        <v>306</v>
      </c>
      <c r="R135" s="9" t="s">
        <v>307</v>
      </c>
      <c r="Y135" s="10">
        <f>IF(S135="", "", IF(W135="Green", S135+30, IF(W135="Yellow", S135+7, IF(W135="Red", S135+2, ""))))</f>
        <v>0</v>
      </c>
      <c r="Z135" s="11">
        <f>IF(Y135="", "", (Y135-TODAY()) * 50 - V135 * 10 - G135 * 5 + IF(W135="Red", -20, IF(W135="Yellow", -10, 0)) - IFERROR(INDEX(Analytics!$F$5:$F$20, MATCH(C135, Analytics!$A$5:$A$20, 0)) * 5, 0) + MOD(A135, 7))</f>
        <v>0</v>
      </c>
    </row>
    <row r="136" spans="1:26">
      <c r="A136" s="11">
        <v>135</v>
      </c>
      <c r="B136" s="4" t="s">
        <v>493</v>
      </c>
      <c r="C136" s="12" t="s">
        <v>53</v>
      </c>
      <c r="D136" s="12" t="s">
        <v>63</v>
      </c>
      <c r="E136" s="12" t="s">
        <v>34</v>
      </c>
      <c r="F136" s="11">
        <v>20</v>
      </c>
      <c r="G136" s="11">
        <v>10</v>
      </c>
      <c r="H136" s="12" t="s">
        <v>117</v>
      </c>
      <c r="I136" s="12" t="s">
        <v>117</v>
      </c>
      <c r="J136" s="4" t="s">
        <v>136</v>
      </c>
      <c r="K136" s="4" t="s">
        <v>139</v>
      </c>
      <c r="L136" s="12" t="s">
        <v>131</v>
      </c>
      <c r="M136" s="12" t="s">
        <v>140</v>
      </c>
      <c r="N136" s="4" t="s">
        <v>397</v>
      </c>
      <c r="O136" s="9" t="s">
        <v>304</v>
      </c>
      <c r="P136" s="9" t="s">
        <v>305</v>
      </c>
      <c r="Q136" s="9" t="s">
        <v>306</v>
      </c>
      <c r="R136" s="9" t="s">
        <v>307</v>
      </c>
      <c r="Y136" s="10">
        <f>IF(S136="", "", IF(W136="Green", S136+30, IF(W136="Yellow", S136+7, IF(W136="Red", S136+2, ""))))</f>
        <v>0</v>
      </c>
      <c r="Z136" s="11">
        <f>IF(Y136="", "", (Y136-TODAY()) * 50 - V136 * 10 - G136 * 5 + IF(W136="Red", -20, IF(W136="Yellow", -10, 0)) - IFERROR(INDEX(Analytics!$F$5:$F$20, MATCH(C136, Analytics!$A$5:$A$20, 0)) * 5, 0) + MOD(A136, 7))</f>
        <v>0</v>
      </c>
    </row>
    <row r="137" spans="1:26">
      <c r="A137" s="11">
        <v>136</v>
      </c>
      <c r="B137" s="4" t="s">
        <v>494</v>
      </c>
      <c r="C137" s="12" t="s">
        <v>53</v>
      </c>
      <c r="D137" s="12" t="s">
        <v>63</v>
      </c>
      <c r="E137" s="12" t="s">
        <v>34</v>
      </c>
      <c r="F137" s="11">
        <v>20</v>
      </c>
      <c r="G137" s="11">
        <v>9</v>
      </c>
      <c r="H137" s="12" t="s">
        <v>117</v>
      </c>
      <c r="I137" s="12" t="s">
        <v>117</v>
      </c>
      <c r="J137" s="4" t="s">
        <v>136</v>
      </c>
      <c r="K137" s="4" t="s">
        <v>139</v>
      </c>
      <c r="L137" s="12" t="s">
        <v>131</v>
      </c>
      <c r="M137" s="12" t="s">
        <v>140</v>
      </c>
      <c r="N137" s="4" t="s">
        <v>477</v>
      </c>
      <c r="O137" s="9" t="s">
        <v>304</v>
      </c>
      <c r="P137" s="9" t="s">
        <v>305</v>
      </c>
      <c r="Q137" s="9" t="s">
        <v>306</v>
      </c>
      <c r="R137" s="9" t="s">
        <v>307</v>
      </c>
      <c r="Y137" s="10">
        <f>IF(S137="", "", IF(W137="Green", S137+30, IF(W137="Yellow", S137+7, IF(W137="Red", S137+2, ""))))</f>
        <v>0</v>
      </c>
      <c r="Z137" s="11">
        <f>IF(Y137="", "", (Y137-TODAY()) * 50 - V137 * 10 - G137 * 5 + IF(W137="Red", -20, IF(W137="Yellow", -10, 0)) - IFERROR(INDEX(Analytics!$F$5:$F$20, MATCH(C137, Analytics!$A$5:$A$20, 0)) * 5, 0) + MOD(A137, 7))</f>
        <v>0</v>
      </c>
    </row>
    <row r="138" spans="1:26">
      <c r="A138" s="11">
        <v>137</v>
      </c>
      <c r="B138" s="4" t="s">
        <v>495</v>
      </c>
      <c r="C138" s="12" t="s">
        <v>53</v>
      </c>
      <c r="D138" s="12" t="s">
        <v>63</v>
      </c>
      <c r="E138" s="12" t="s">
        <v>35</v>
      </c>
      <c r="F138" s="11">
        <v>40</v>
      </c>
      <c r="G138" s="11">
        <v>10</v>
      </c>
      <c r="H138" s="12" t="s">
        <v>117</v>
      </c>
      <c r="I138" s="12" t="s">
        <v>117</v>
      </c>
      <c r="J138" s="4" t="s">
        <v>136</v>
      </c>
      <c r="K138" s="4" t="s">
        <v>139</v>
      </c>
      <c r="L138" s="12" t="s">
        <v>131</v>
      </c>
      <c r="M138" s="12" t="s">
        <v>140</v>
      </c>
      <c r="N138" s="4" t="s">
        <v>404</v>
      </c>
      <c r="O138" s="9" t="s">
        <v>304</v>
      </c>
      <c r="P138" s="9" t="s">
        <v>305</v>
      </c>
      <c r="Q138" s="9" t="s">
        <v>306</v>
      </c>
      <c r="R138" s="9" t="s">
        <v>307</v>
      </c>
      <c r="Y138" s="10">
        <f>IF(S138="", "", IF(W138="Green", S138+30, IF(W138="Yellow", S138+7, IF(W138="Red", S138+2, ""))))</f>
        <v>0</v>
      </c>
      <c r="Z138" s="11">
        <f>IF(Y138="", "", (Y138-TODAY()) * 50 - V138 * 10 - G138 * 5 + IF(W138="Red", -20, IF(W138="Yellow", -10, 0)) - IFERROR(INDEX(Analytics!$F$5:$F$20, MATCH(C138, Analytics!$A$5:$A$20, 0)) * 5, 0) + MOD(A138, 7))</f>
        <v>0</v>
      </c>
    </row>
    <row r="139" spans="1:26">
      <c r="A139" s="11">
        <v>138</v>
      </c>
      <c r="B139" s="4" t="s">
        <v>496</v>
      </c>
      <c r="C139" s="12" t="s">
        <v>53</v>
      </c>
      <c r="D139" s="12" t="s">
        <v>63</v>
      </c>
      <c r="E139" s="12" t="s">
        <v>35</v>
      </c>
      <c r="F139" s="11">
        <v>40</v>
      </c>
      <c r="G139" s="11">
        <v>9</v>
      </c>
      <c r="H139" s="12" t="s">
        <v>117</v>
      </c>
      <c r="I139" s="12" t="s">
        <v>117</v>
      </c>
      <c r="J139" s="4" t="s">
        <v>136</v>
      </c>
      <c r="K139" s="4" t="s">
        <v>139</v>
      </c>
      <c r="L139" s="12" t="s">
        <v>131</v>
      </c>
      <c r="M139" s="12" t="s">
        <v>140</v>
      </c>
      <c r="N139" s="4" t="s">
        <v>315</v>
      </c>
      <c r="O139" s="9" t="s">
        <v>304</v>
      </c>
      <c r="P139" s="9" t="s">
        <v>305</v>
      </c>
      <c r="Q139" s="9" t="s">
        <v>306</v>
      </c>
      <c r="R139" s="9" t="s">
        <v>307</v>
      </c>
      <c r="Y139" s="10">
        <f>IF(S139="", "", IF(W139="Green", S139+30, IF(W139="Yellow", S139+7, IF(W139="Red", S139+2, ""))))</f>
        <v>0</v>
      </c>
      <c r="Z139" s="11">
        <f>IF(Y139="", "", (Y139-TODAY()) * 50 - V139 * 10 - G139 * 5 + IF(W139="Red", -20, IF(W139="Yellow", -10, 0)) - IFERROR(INDEX(Analytics!$F$5:$F$20, MATCH(C139, Analytics!$A$5:$A$20, 0)) * 5, 0) + MOD(A139, 7))</f>
        <v>0</v>
      </c>
    </row>
    <row r="140" spans="1:26">
      <c r="A140" s="11">
        <v>139</v>
      </c>
      <c r="B140" s="4" t="s">
        <v>497</v>
      </c>
      <c r="C140" s="12" t="s">
        <v>53</v>
      </c>
      <c r="D140" s="12" t="s">
        <v>63</v>
      </c>
      <c r="E140" s="12" t="s">
        <v>35</v>
      </c>
      <c r="F140" s="11">
        <v>40</v>
      </c>
      <c r="G140" s="11">
        <v>8</v>
      </c>
      <c r="H140" s="12" t="s">
        <v>150</v>
      </c>
      <c r="I140" s="12" t="s">
        <v>150</v>
      </c>
      <c r="J140" s="4" t="s">
        <v>136</v>
      </c>
      <c r="K140" s="4" t="s">
        <v>139</v>
      </c>
      <c r="L140" s="12" t="s">
        <v>131</v>
      </c>
      <c r="M140" s="12" t="s">
        <v>140</v>
      </c>
      <c r="N140" s="4" t="s">
        <v>338</v>
      </c>
      <c r="O140" s="9" t="s">
        <v>304</v>
      </c>
      <c r="P140" s="9" t="s">
        <v>305</v>
      </c>
      <c r="Q140" s="9" t="s">
        <v>306</v>
      </c>
      <c r="R140" s="9" t="s">
        <v>307</v>
      </c>
      <c r="Y140" s="10">
        <f>IF(S140="", "", IF(W140="Green", S140+30, IF(W140="Yellow", S140+7, IF(W140="Red", S140+2, ""))))</f>
        <v>0</v>
      </c>
      <c r="Z140" s="11">
        <f>IF(Y140="", "", (Y140-TODAY()) * 50 - V140 * 10 - G140 * 5 + IF(W140="Red", -20, IF(W140="Yellow", -10, 0)) - IFERROR(INDEX(Analytics!$F$5:$F$20, MATCH(C140, Analytics!$A$5:$A$20, 0)) * 5, 0) + MOD(A140, 7))</f>
        <v>0</v>
      </c>
    </row>
    <row r="141" spans="1:26">
      <c r="A141" s="11">
        <v>140</v>
      </c>
      <c r="B141" s="4" t="s">
        <v>498</v>
      </c>
      <c r="C141" s="12" t="s">
        <v>53</v>
      </c>
      <c r="D141" s="12" t="s">
        <v>63</v>
      </c>
      <c r="E141" s="12" t="s">
        <v>34</v>
      </c>
      <c r="F141" s="11">
        <v>20</v>
      </c>
      <c r="G141" s="11">
        <v>9</v>
      </c>
      <c r="H141" s="12" t="s">
        <v>117</v>
      </c>
      <c r="I141" s="12" t="s">
        <v>117</v>
      </c>
      <c r="J141" s="4" t="s">
        <v>136</v>
      </c>
      <c r="K141" s="4" t="s">
        <v>139</v>
      </c>
      <c r="L141" s="12" t="s">
        <v>131</v>
      </c>
      <c r="M141" s="12" t="s">
        <v>140</v>
      </c>
      <c r="N141" s="4" t="s">
        <v>499</v>
      </c>
      <c r="O141" s="9" t="s">
        <v>304</v>
      </c>
      <c r="P141" s="9" t="s">
        <v>305</v>
      </c>
      <c r="Q141" s="9" t="s">
        <v>306</v>
      </c>
      <c r="R141" s="9" t="s">
        <v>307</v>
      </c>
      <c r="Y141" s="10">
        <f>IF(S141="", "", IF(W141="Green", S141+30, IF(W141="Yellow", S141+7, IF(W141="Red", S141+2, ""))))</f>
        <v>0</v>
      </c>
      <c r="Z141" s="11">
        <f>IF(Y141="", "", (Y141-TODAY()) * 50 - V141 * 10 - G141 * 5 + IF(W141="Red", -20, IF(W141="Yellow", -10, 0)) - IFERROR(INDEX(Analytics!$F$5:$F$20, MATCH(C141, Analytics!$A$5:$A$20, 0)) * 5, 0) + MOD(A141, 7))</f>
        <v>0</v>
      </c>
    </row>
    <row r="142" spans="1:26">
      <c r="A142" s="11">
        <v>141</v>
      </c>
      <c r="B142" s="4" t="s">
        <v>500</v>
      </c>
      <c r="C142" s="12" t="s">
        <v>53</v>
      </c>
      <c r="D142" s="12" t="s">
        <v>63</v>
      </c>
      <c r="E142" s="12" t="s">
        <v>35</v>
      </c>
      <c r="F142" s="11">
        <v>40</v>
      </c>
      <c r="G142" s="11">
        <v>9</v>
      </c>
      <c r="H142" s="12" t="s">
        <v>117</v>
      </c>
      <c r="I142" s="12" t="s">
        <v>117</v>
      </c>
      <c r="J142" s="4" t="s">
        <v>136</v>
      </c>
      <c r="K142" s="4" t="s">
        <v>139</v>
      </c>
      <c r="L142" s="12" t="s">
        <v>131</v>
      </c>
      <c r="M142" s="12" t="s">
        <v>140</v>
      </c>
      <c r="N142" s="4" t="s">
        <v>324</v>
      </c>
      <c r="O142" s="9" t="s">
        <v>304</v>
      </c>
      <c r="P142" s="9" t="s">
        <v>305</v>
      </c>
      <c r="Q142" s="9" t="s">
        <v>306</v>
      </c>
      <c r="R142" s="9" t="s">
        <v>307</v>
      </c>
      <c r="Y142" s="10">
        <f>IF(S142="", "", IF(W142="Green", S142+30, IF(W142="Yellow", S142+7, IF(W142="Red", S142+2, ""))))</f>
        <v>0</v>
      </c>
      <c r="Z142" s="11">
        <f>IF(Y142="", "", (Y142-TODAY()) * 50 - V142 * 10 - G142 * 5 + IF(W142="Red", -20, IF(W142="Yellow", -10, 0)) - IFERROR(INDEX(Analytics!$F$5:$F$20, MATCH(C142, Analytics!$A$5:$A$20, 0)) * 5, 0) + MOD(A142, 7))</f>
        <v>0</v>
      </c>
    </row>
    <row r="143" spans="1:26">
      <c r="A143" s="11">
        <v>142</v>
      </c>
      <c r="B143" s="4" t="s">
        <v>501</v>
      </c>
      <c r="C143" s="12" t="s">
        <v>53</v>
      </c>
      <c r="D143" s="12" t="s">
        <v>49</v>
      </c>
      <c r="E143" s="12" t="s">
        <v>35</v>
      </c>
      <c r="F143" s="11">
        <v>40</v>
      </c>
      <c r="G143" s="11">
        <v>9</v>
      </c>
      <c r="H143" s="12" t="s">
        <v>117</v>
      </c>
      <c r="I143" s="12" t="s">
        <v>117</v>
      </c>
      <c r="J143" s="4" t="s">
        <v>119</v>
      </c>
      <c r="K143" s="4" t="s">
        <v>122</v>
      </c>
      <c r="L143" s="12" t="s">
        <v>123</v>
      </c>
      <c r="M143" s="12" t="s">
        <v>124</v>
      </c>
      <c r="N143" s="4" t="s">
        <v>336</v>
      </c>
      <c r="O143" s="9" t="s">
        <v>304</v>
      </c>
      <c r="P143" s="9" t="s">
        <v>305</v>
      </c>
      <c r="Q143" s="9" t="s">
        <v>306</v>
      </c>
      <c r="R143" s="9" t="s">
        <v>307</v>
      </c>
      <c r="Y143" s="10">
        <f>IF(S143="", "", IF(W143="Green", S143+30, IF(W143="Yellow", S143+7, IF(W143="Red", S143+2, ""))))</f>
        <v>0</v>
      </c>
      <c r="Z143" s="11">
        <f>IF(Y143="", "", (Y143-TODAY()) * 50 - V143 * 10 - G143 * 5 + IF(W143="Red", -20, IF(W143="Yellow", -10, 0)) - IFERROR(INDEX(Analytics!$F$5:$F$20, MATCH(C143, Analytics!$A$5:$A$20, 0)) * 5, 0) + MOD(A143, 7))</f>
        <v>0</v>
      </c>
    </row>
    <row r="144" spans="1:26">
      <c r="A144" s="11">
        <v>143</v>
      </c>
      <c r="B144" s="4" t="s">
        <v>502</v>
      </c>
      <c r="C144" s="12" t="s">
        <v>53</v>
      </c>
      <c r="D144" s="12" t="s">
        <v>63</v>
      </c>
      <c r="E144" s="12" t="s">
        <v>34</v>
      </c>
      <c r="F144" s="11">
        <v>20</v>
      </c>
      <c r="G144" s="11">
        <v>9</v>
      </c>
      <c r="H144" s="12" t="s">
        <v>117</v>
      </c>
      <c r="I144" s="12" t="s">
        <v>117</v>
      </c>
      <c r="J144" s="4" t="s">
        <v>136</v>
      </c>
      <c r="K144" s="4" t="s">
        <v>139</v>
      </c>
      <c r="L144" s="12" t="s">
        <v>131</v>
      </c>
      <c r="M144" s="12" t="s">
        <v>140</v>
      </c>
      <c r="N144" s="4" t="s">
        <v>340</v>
      </c>
      <c r="O144" s="9" t="s">
        <v>304</v>
      </c>
      <c r="P144" s="9" t="s">
        <v>305</v>
      </c>
      <c r="Q144" s="9" t="s">
        <v>306</v>
      </c>
      <c r="R144" s="9" t="s">
        <v>307</v>
      </c>
      <c r="Y144" s="10">
        <f>IF(S144="", "", IF(W144="Green", S144+30, IF(W144="Yellow", S144+7, IF(W144="Red", S144+2, ""))))</f>
        <v>0</v>
      </c>
      <c r="Z144" s="11">
        <f>IF(Y144="", "", (Y144-TODAY()) * 50 - V144 * 10 - G144 * 5 + IF(W144="Red", -20, IF(W144="Yellow", -10, 0)) - IFERROR(INDEX(Analytics!$F$5:$F$20, MATCH(C144, Analytics!$A$5:$A$20, 0)) * 5, 0) + MOD(A144, 7))</f>
        <v>0</v>
      </c>
    </row>
    <row r="145" spans="1:26">
      <c r="A145" s="11">
        <v>144</v>
      </c>
      <c r="B145" s="4" t="s">
        <v>503</v>
      </c>
      <c r="C145" s="12" t="s">
        <v>53</v>
      </c>
      <c r="D145" s="12" t="s">
        <v>63</v>
      </c>
      <c r="E145" s="12" t="s">
        <v>36</v>
      </c>
      <c r="F145" s="11">
        <v>60</v>
      </c>
      <c r="G145" s="11">
        <v>10</v>
      </c>
      <c r="H145" s="12" t="s">
        <v>117</v>
      </c>
      <c r="I145" s="12" t="s">
        <v>117</v>
      </c>
      <c r="J145" s="4" t="s">
        <v>136</v>
      </c>
      <c r="K145" s="4" t="s">
        <v>139</v>
      </c>
      <c r="L145" s="12" t="s">
        <v>131</v>
      </c>
      <c r="M145" s="12" t="s">
        <v>140</v>
      </c>
      <c r="N145" s="4" t="s">
        <v>332</v>
      </c>
      <c r="O145" s="9" t="s">
        <v>304</v>
      </c>
      <c r="P145" s="9" t="s">
        <v>305</v>
      </c>
      <c r="Q145" s="9" t="s">
        <v>306</v>
      </c>
      <c r="R145" s="9" t="s">
        <v>307</v>
      </c>
      <c r="Y145" s="10">
        <f>IF(S145="", "", IF(W145="Green", S145+30, IF(W145="Yellow", S145+7, IF(W145="Red", S145+2, ""))))</f>
        <v>0</v>
      </c>
      <c r="Z145" s="11">
        <f>IF(Y145="", "", (Y145-TODAY()) * 50 - V145 * 10 - G145 * 5 + IF(W145="Red", -20, IF(W145="Yellow", -10, 0)) - IFERROR(INDEX(Analytics!$F$5:$F$20, MATCH(C145, Analytics!$A$5:$A$20, 0)) * 5, 0) + MOD(A145, 7))</f>
        <v>0</v>
      </c>
    </row>
    <row r="146" spans="1:26">
      <c r="A146" s="11">
        <v>145</v>
      </c>
      <c r="B146" s="4" t="s">
        <v>504</v>
      </c>
      <c r="C146" s="12" t="s">
        <v>53</v>
      </c>
      <c r="D146" s="12" t="s">
        <v>63</v>
      </c>
      <c r="E146" s="12" t="s">
        <v>35</v>
      </c>
      <c r="F146" s="11">
        <v>40</v>
      </c>
      <c r="G146" s="11">
        <v>8</v>
      </c>
      <c r="H146" s="12" t="s">
        <v>317</v>
      </c>
      <c r="I146" s="12" t="s">
        <v>150</v>
      </c>
      <c r="J146" s="4" t="s">
        <v>136</v>
      </c>
      <c r="K146" s="4" t="s">
        <v>139</v>
      </c>
      <c r="L146" s="12" t="s">
        <v>131</v>
      </c>
      <c r="M146" s="12" t="s">
        <v>140</v>
      </c>
      <c r="N146" s="4" t="s">
        <v>324</v>
      </c>
      <c r="O146" s="9" t="s">
        <v>304</v>
      </c>
      <c r="P146" s="9" t="s">
        <v>305</v>
      </c>
      <c r="Q146" s="9" t="s">
        <v>306</v>
      </c>
      <c r="R146" s="9" t="s">
        <v>307</v>
      </c>
      <c r="Y146" s="10">
        <f>IF(S146="", "", IF(W146="Green", S146+30, IF(W146="Yellow", S146+7, IF(W146="Red", S146+2, ""))))</f>
        <v>0</v>
      </c>
      <c r="Z146" s="11">
        <f>IF(Y146="", "", (Y146-TODAY()) * 50 - V146 * 10 - G146 * 5 + IF(W146="Red", -20, IF(W146="Yellow", -10, 0)) - IFERROR(INDEX(Analytics!$F$5:$F$20, MATCH(C146, Analytics!$A$5:$A$20, 0)) * 5, 0) + MOD(A146, 7))</f>
        <v>0</v>
      </c>
    </row>
    <row r="147" spans="1:26">
      <c r="A147" s="11">
        <v>146</v>
      </c>
      <c r="B147" s="4" t="s">
        <v>505</v>
      </c>
      <c r="C147" s="12" t="s">
        <v>53</v>
      </c>
      <c r="D147" s="12" t="s">
        <v>50</v>
      </c>
      <c r="E147" s="12" t="s">
        <v>36</v>
      </c>
      <c r="F147" s="11">
        <v>60</v>
      </c>
      <c r="G147" s="11">
        <v>9</v>
      </c>
      <c r="H147" s="12" t="s">
        <v>117</v>
      </c>
      <c r="I147" s="12" t="s">
        <v>117</v>
      </c>
      <c r="J147" s="4" t="s">
        <v>220</v>
      </c>
      <c r="K147" s="4" t="s">
        <v>223</v>
      </c>
      <c r="L147" s="12" t="s">
        <v>224</v>
      </c>
      <c r="M147" s="12" t="s">
        <v>225</v>
      </c>
      <c r="N147" s="4" t="s">
        <v>336</v>
      </c>
      <c r="O147" s="9" t="s">
        <v>304</v>
      </c>
      <c r="P147" s="9" t="s">
        <v>305</v>
      </c>
      <c r="Q147" s="9" t="s">
        <v>306</v>
      </c>
      <c r="R147" s="9" t="s">
        <v>307</v>
      </c>
      <c r="Y147" s="10">
        <f>IF(S147="", "", IF(W147="Green", S147+30, IF(W147="Yellow", S147+7, IF(W147="Red", S147+2, ""))))</f>
        <v>0</v>
      </c>
      <c r="Z147" s="11">
        <f>IF(Y147="", "", (Y147-TODAY()) * 50 - V147 * 10 - G147 * 5 + IF(W147="Red", -20, IF(W147="Yellow", -10, 0)) - IFERROR(INDEX(Analytics!$F$5:$F$20, MATCH(C147, Analytics!$A$5:$A$20, 0)) * 5, 0) + MOD(A147, 7))</f>
        <v>0</v>
      </c>
    </row>
    <row r="148" spans="1:26">
      <c r="A148" s="11">
        <v>147</v>
      </c>
      <c r="B148" s="4" t="s">
        <v>506</v>
      </c>
      <c r="C148" s="12" t="s">
        <v>53</v>
      </c>
      <c r="D148" s="12" t="s">
        <v>63</v>
      </c>
      <c r="E148" s="12" t="s">
        <v>34</v>
      </c>
      <c r="F148" s="11">
        <v>20</v>
      </c>
      <c r="G148" s="11">
        <v>8</v>
      </c>
      <c r="H148" s="12" t="s">
        <v>150</v>
      </c>
      <c r="I148" s="12" t="s">
        <v>150</v>
      </c>
      <c r="J148" s="4" t="s">
        <v>136</v>
      </c>
      <c r="K148" s="4" t="s">
        <v>139</v>
      </c>
      <c r="L148" s="12" t="s">
        <v>131</v>
      </c>
      <c r="M148" s="12" t="s">
        <v>140</v>
      </c>
      <c r="N148" s="4" t="s">
        <v>313</v>
      </c>
      <c r="O148" s="9" t="s">
        <v>304</v>
      </c>
      <c r="P148" s="9" t="s">
        <v>305</v>
      </c>
      <c r="Q148" s="9" t="s">
        <v>306</v>
      </c>
      <c r="R148" s="9" t="s">
        <v>307</v>
      </c>
      <c r="Y148" s="10">
        <f>IF(S148="", "", IF(W148="Green", S148+30, IF(W148="Yellow", S148+7, IF(W148="Red", S148+2, ""))))</f>
        <v>0</v>
      </c>
      <c r="Z148" s="11">
        <f>IF(Y148="", "", (Y148-TODAY()) * 50 - V148 * 10 - G148 * 5 + IF(W148="Red", -20, IF(W148="Yellow", -10, 0)) - IFERROR(INDEX(Analytics!$F$5:$F$20, MATCH(C148, Analytics!$A$5:$A$20, 0)) * 5, 0) + MOD(A148, 7))</f>
        <v>0</v>
      </c>
    </row>
    <row r="149" spans="1:26">
      <c r="A149" s="11">
        <v>148</v>
      </c>
      <c r="B149" s="4" t="s">
        <v>507</v>
      </c>
      <c r="C149" s="12" t="s">
        <v>53</v>
      </c>
      <c r="D149" s="12" t="s">
        <v>63</v>
      </c>
      <c r="E149" s="12" t="s">
        <v>35</v>
      </c>
      <c r="F149" s="11">
        <v>40</v>
      </c>
      <c r="G149" s="11">
        <v>8</v>
      </c>
      <c r="H149" s="12" t="s">
        <v>317</v>
      </c>
      <c r="I149" s="12" t="s">
        <v>150</v>
      </c>
      <c r="J149" s="4" t="s">
        <v>136</v>
      </c>
      <c r="K149" s="4" t="s">
        <v>139</v>
      </c>
      <c r="L149" s="12" t="s">
        <v>131</v>
      </c>
      <c r="M149" s="12" t="s">
        <v>140</v>
      </c>
      <c r="N149" s="4" t="s">
        <v>354</v>
      </c>
      <c r="O149" s="9" t="s">
        <v>304</v>
      </c>
      <c r="P149" s="9" t="s">
        <v>305</v>
      </c>
      <c r="Q149" s="9" t="s">
        <v>306</v>
      </c>
      <c r="R149" s="9" t="s">
        <v>307</v>
      </c>
      <c r="Y149" s="10">
        <f>IF(S149="", "", IF(W149="Green", S149+30, IF(W149="Yellow", S149+7, IF(W149="Red", S149+2, ""))))</f>
        <v>0</v>
      </c>
      <c r="Z149" s="11">
        <f>IF(Y149="", "", (Y149-TODAY()) * 50 - V149 * 10 - G149 * 5 + IF(W149="Red", -20, IF(W149="Yellow", -10, 0)) - IFERROR(INDEX(Analytics!$F$5:$F$20, MATCH(C149, Analytics!$A$5:$A$20, 0)) * 5, 0) + MOD(A149, 7))</f>
        <v>0</v>
      </c>
    </row>
    <row r="150" spans="1:26">
      <c r="A150" s="11">
        <v>149</v>
      </c>
      <c r="B150" s="4" t="s">
        <v>508</v>
      </c>
      <c r="C150" s="12" t="s">
        <v>53</v>
      </c>
      <c r="D150" s="12" t="s">
        <v>63</v>
      </c>
      <c r="E150" s="12" t="s">
        <v>35</v>
      </c>
      <c r="F150" s="11">
        <v>40</v>
      </c>
      <c r="G150" s="11">
        <v>8</v>
      </c>
      <c r="H150" s="12" t="s">
        <v>150</v>
      </c>
      <c r="I150" s="12" t="s">
        <v>150</v>
      </c>
      <c r="J150" s="4" t="s">
        <v>136</v>
      </c>
      <c r="K150" s="4" t="s">
        <v>139</v>
      </c>
      <c r="L150" s="12" t="s">
        <v>131</v>
      </c>
      <c r="M150" s="12" t="s">
        <v>140</v>
      </c>
      <c r="N150" s="4" t="s">
        <v>386</v>
      </c>
      <c r="O150" s="9" t="s">
        <v>304</v>
      </c>
      <c r="P150" s="9" t="s">
        <v>305</v>
      </c>
      <c r="Q150" s="9" t="s">
        <v>306</v>
      </c>
      <c r="R150" s="9" t="s">
        <v>307</v>
      </c>
      <c r="Y150" s="10">
        <f>IF(S150="", "", IF(W150="Green", S150+30, IF(W150="Yellow", S150+7, IF(W150="Red", S150+2, ""))))</f>
        <v>0</v>
      </c>
      <c r="Z150" s="11">
        <f>IF(Y150="", "", (Y150-TODAY()) * 50 - V150 * 10 - G150 * 5 + IF(W150="Red", -20, IF(W150="Yellow", -10, 0)) - IFERROR(INDEX(Analytics!$F$5:$F$20, MATCH(C150, Analytics!$A$5:$A$20, 0)) * 5, 0) + MOD(A150, 7))</f>
        <v>0</v>
      </c>
    </row>
    <row r="151" spans="1:26">
      <c r="A151" s="11">
        <v>150</v>
      </c>
      <c r="B151" s="4" t="s">
        <v>509</v>
      </c>
      <c r="C151" s="12" t="s">
        <v>53</v>
      </c>
      <c r="D151" s="12" t="s">
        <v>63</v>
      </c>
      <c r="E151" s="12" t="s">
        <v>35</v>
      </c>
      <c r="F151" s="11">
        <v>40</v>
      </c>
      <c r="G151" s="11">
        <v>8</v>
      </c>
      <c r="H151" s="12" t="s">
        <v>317</v>
      </c>
      <c r="I151" s="12" t="s">
        <v>150</v>
      </c>
      <c r="J151" s="4" t="s">
        <v>136</v>
      </c>
      <c r="K151" s="4" t="s">
        <v>139</v>
      </c>
      <c r="L151" s="12" t="s">
        <v>131</v>
      </c>
      <c r="M151" s="12" t="s">
        <v>140</v>
      </c>
      <c r="N151" s="4" t="s">
        <v>75</v>
      </c>
      <c r="O151" s="9" t="s">
        <v>304</v>
      </c>
      <c r="P151" s="9" t="s">
        <v>305</v>
      </c>
      <c r="Q151" s="9" t="s">
        <v>306</v>
      </c>
      <c r="R151" s="9" t="s">
        <v>307</v>
      </c>
      <c r="Y151" s="10">
        <f>IF(S151="", "", IF(W151="Green", S151+30, IF(W151="Yellow", S151+7, IF(W151="Red", S151+2, ""))))</f>
        <v>0</v>
      </c>
      <c r="Z151" s="11">
        <f>IF(Y151="", "", (Y151-TODAY()) * 50 - V151 * 10 - G151 * 5 + IF(W151="Red", -20, IF(W151="Yellow", -10, 0)) - IFERROR(INDEX(Analytics!$F$5:$F$20, MATCH(C151, Analytics!$A$5:$A$20, 0)) * 5, 0) + MOD(A151, 7))</f>
        <v>0</v>
      </c>
    </row>
    <row r="152" spans="1:26">
      <c r="A152" s="11">
        <v>151</v>
      </c>
      <c r="B152" s="4" t="s">
        <v>510</v>
      </c>
      <c r="C152" s="12" t="s">
        <v>53</v>
      </c>
      <c r="D152" s="12" t="s">
        <v>63</v>
      </c>
      <c r="E152" s="12" t="s">
        <v>35</v>
      </c>
      <c r="F152" s="11">
        <v>40</v>
      </c>
      <c r="G152" s="11">
        <v>8</v>
      </c>
      <c r="H152" s="12" t="s">
        <v>150</v>
      </c>
      <c r="I152" s="12" t="s">
        <v>150</v>
      </c>
      <c r="J152" s="4" t="s">
        <v>136</v>
      </c>
      <c r="K152" s="4" t="s">
        <v>139</v>
      </c>
      <c r="L152" s="12" t="s">
        <v>131</v>
      </c>
      <c r="M152" s="12" t="s">
        <v>140</v>
      </c>
      <c r="N152" s="4" t="s">
        <v>324</v>
      </c>
      <c r="O152" s="9" t="s">
        <v>304</v>
      </c>
      <c r="P152" s="9" t="s">
        <v>305</v>
      </c>
      <c r="Q152" s="9" t="s">
        <v>306</v>
      </c>
      <c r="R152" s="9" t="s">
        <v>307</v>
      </c>
      <c r="Y152" s="10">
        <f>IF(S152="", "", IF(W152="Green", S152+30, IF(W152="Yellow", S152+7, IF(W152="Red", S152+2, ""))))</f>
        <v>0</v>
      </c>
      <c r="Z152" s="11">
        <f>IF(Y152="", "", (Y152-TODAY()) * 50 - V152 * 10 - G152 * 5 + IF(W152="Red", -20, IF(W152="Yellow", -10, 0)) - IFERROR(INDEX(Analytics!$F$5:$F$20, MATCH(C152, Analytics!$A$5:$A$20, 0)) * 5, 0) + MOD(A152, 7))</f>
        <v>0</v>
      </c>
    </row>
    <row r="153" spans="1:26">
      <c r="A153" s="11">
        <v>152</v>
      </c>
      <c r="B153" s="4" t="s">
        <v>511</v>
      </c>
      <c r="C153" s="12" t="s">
        <v>53</v>
      </c>
      <c r="D153" s="12" t="s">
        <v>63</v>
      </c>
      <c r="E153" s="12" t="s">
        <v>35</v>
      </c>
      <c r="F153" s="11">
        <v>40</v>
      </c>
      <c r="G153" s="11">
        <v>7</v>
      </c>
      <c r="H153" s="12" t="s">
        <v>317</v>
      </c>
      <c r="I153" s="12" t="s">
        <v>150</v>
      </c>
      <c r="J153" s="4" t="s">
        <v>136</v>
      </c>
      <c r="K153" s="4" t="s">
        <v>139</v>
      </c>
      <c r="L153" s="12" t="s">
        <v>131</v>
      </c>
      <c r="M153" s="12" t="s">
        <v>140</v>
      </c>
      <c r="N153" s="4" t="s">
        <v>70</v>
      </c>
      <c r="O153" s="9" t="s">
        <v>304</v>
      </c>
      <c r="P153" s="9" t="s">
        <v>305</v>
      </c>
      <c r="Q153" s="9" t="s">
        <v>306</v>
      </c>
      <c r="R153" s="9" t="s">
        <v>307</v>
      </c>
      <c r="Y153" s="10">
        <f>IF(S153="", "", IF(W153="Green", S153+30, IF(W153="Yellow", S153+7, IF(W153="Red", S153+2, ""))))</f>
        <v>0</v>
      </c>
      <c r="Z153" s="11">
        <f>IF(Y153="", "", (Y153-TODAY()) * 50 - V153 * 10 - G153 * 5 + IF(W153="Red", -20, IF(W153="Yellow", -10, 0)) - IFERROR(INDEX(Analytics!$F$5:$F$20, MATCH(C153, Analytics!$A$5:$A$20, 0)) * 5, 0) + MOD(A153, 7))</f>
        <v>0</v>
      </c>
    </row>
    <row r="154" spans="1:26">
      <c r="A154" s="11">
        <v>153</v>
      </c>
      <c r="B154" s="4" t="s">
        <v>512</v>
      </c>
      <c r="C154" s="12" t="s">
        <v>53</v>
      </c>
      <c r="D154" s="12" t="s">
        <v>63</v>
      </c>
      <c r="E154" s="12" t="s">
        <v>34</v>
      </c>
      <c r="F154" s="11">
        <v>20</v>
      </c>
      <c r="G154" s="11">
        <v>9</v>
      </c>
      <c r="H154" s="12" t="s">
        <v>117</v>
      </c>
      <c r="I154" s="12" t="s">
        <v>117</v>
      </c>
      <c r="J154" s="4" t="s">
        <v>136</v>
      </c>
      <c r="K154" s="4" t="s">
        <v>139</v>
      </c>
      <c r="L154" s="12" t="s">
        <v>131</v>
      </c>
      <c r="M154" s="12" t="s">
        <v>140</v>
      </c>
      <c r="N154" s="4" t="s">
        <v>334</v>
      </c>
      <c r="O154" s="9" t="s">
        <v>304</v>
      </c>
      <c r="P154" s="9" t="s">
        <v>305</v>
      </c>
      <c r="Q154" s="9" t="s">
        <v>306</v>
      </c>
      <c r="R154" s="9" t="s">
        <v>307</v>
      </c>
      <c r="Y154" s="10">
        <f>IF(S154="", "", IF(W154="Green", S154+30, IF(W154="Yellow", S154+7, IF(W154="Red", S154+2, ""))))</f>
        <v>0</v>
      </c>
      <c r="Z154" s="11">
        <f>IF(Y154="", "", (Y154-TODAY()) * 50 - V154 * 10 - G154 * 5 + IF(W154="Red", -20, IF(W154="Yellow", -10, 0)) - IFERROR(INDEX(Analytics!$F$5:$F$20, MATCH(C154, Analytics!$A$5:$A$20, 0)) * 5, 0) + MOD(A154, 7))</f>
        <v>0</v>
      </c>
    </row>
    <row r="155" spans="1:26">
      <c r="A155" s="11">
        <v>154</v>
      </c>
      <c r="B155" s="4" t="s">
        <v>513</v>
      </c>
      <c r="C155" s="12" t="s">
        <v>92</v>
      </c>
      <c r="D155" s="12" t="s">
        <v>55</v>
      </c>
      <c r="E155" s="12" t="s">
        <v>34</v>
      </c>
      <c r="F155" s="11">
        <v>20</v>
      </c>
      <c r="G155" s="11">
        <v>10</v>
      </c>
      <c r="H155" s="12" t="s">
        <v>117</v>
      </c>
      <c r="I155" s="12" t="s">
        <v>117</v>
      </c>
      <c r="J155" s="4" t="s">
        <v>186</v>
      </c>
      <c r="K155" s="4" t="s">
        <v>189</v>
      </c>
      <c r="L155" s="12" t="s">
        <v>131</v>
      </c>
      <c r="M155" s="12" t="s">
        <v>131</v>
      </c>
      <c r="N155" s="4" t="s">
        <v>421</v>
      </c>
      <c r="O155" s="9" t="s">
        <v>304</v>
      </c>
      <c r="P155" s="9" t="s">
        <v>305</v>
      </c>
      <c r="Q155" s="9" t="s">
        <v>306</v>
      </c>
      <c r="R155" s="9" t="s">
        <v>307</v>
      </c>
      <c r="Y155" s="10">
        <f>IF(S155="", "", IF(W155="Green", S155+30, IF(W155="Yellow", S155+7, IF(W155="Red", S155+2, ""))))</f>
        <v>0</v>
      </c>
      <c r="Z155" s="11">
        <f>IF(Y155="", "", (Y155-TODAY()) * 50 - V155 * 10 - G155 * 5 + IF(W155="Red", -20, IF(W155="Yellow", -10, 0)) - IFERROR(INDEX(Analytics!$F$5:$F$20, MATCH(C155, Analytics!$A$5:$A$20, 0)) * 5, 0) + MOD(A155, 7))</f>
        <v>0</v>
      </c>
    </row>
    <row r="156" spans="1:26">
      <c r="A156" s="11">
        <v>155</v>
      </c>
      <c r="B156" s="4" t="s">
        <v>514</v>
      </c>
      <c r="C156" s="12" t="s">
        <v>92</v>
      </c>
      <c r="D156" s="12" t="s">
        <v>55</v>
      </c>
      <c r="E156" s="12" t="s">
        <v>35</v>
      </c>
      <c r="F156" s="11">
        <v>40</v>
      </c>
      <c r="G156" s="11">
        <v>10</v>
      </c>
      <c r="H156" s="12" t="s">
        <v>117</v>
      </c>
      <c r="I156" s="12" t="s">
        <v>117</v>
      </c>
      <c r="J156" s="4" t="s">
        <v>186</v>
      </c>
      <c r="K156" s="4" t="s">
        <v>189</v>
      </c>
      <c r="L156" s="12" t="s">
        <v>131</v>
      </c>
      <c r="M156" s="12" t="s">
        <v>131</v>
      </c>
      <c r="N156" s="4" t="s">
        <v>397</v>
      </c>
      <c r="O156" s="9" t="s">
        <v>304</v>
      </c>
      <c r="P156" s="9" t="s">
        <v>305</v>
      </c>
      <c r="Q156" s="9" t="s">
        <v>306</v>
      </c>
      <c r="R156" s="9" t="s">
        <v>307</v>
      </c>
      <c r="Y156" s="10">
        <f>IF(S156="", "", IF(W156="Green", S156+30, IF(W156="Yellow", S156+7, IF(W156="Red", S156+2, ""))))</f>
        <v>0</v>
      </c>
      <c r="Z156" s="11">
        <f>IF(Y156="", "", (Y156-TODAY()) * 50 - V156 * 10 - G156 * 5 + IF(W156="Red", -20, IF(W156="Yellow", -10, 0)) - IFERROR(INDEX(Analytics!$F$5:$F$20, MATCH(C156, Analytics!$A$5:$A$20, 0)) * 5, 0) + MOD(A156, 7))</f>
        <v>0</v>
      </c>
    </row>
    <row r="157" spans="1:26">
      <c r="A157" s="11">
        <v>156</v>
      </c>
      <c r="B157" s="4" t="s">
        <v>515</v>
      </c>
      <c r="C157" s="12" t="s">
        <v>92</v>
      </c>
      <c r="D157" s="12" t="s">
        <v>55</v>
      </c>
      <c r="E157" s="12" t="s">
        <v>34</v>
      </c>
      <c r="F157" s="11">
        <v>20</v>
      </c>
      <c r="G157" s="11">
        <v>9</v>
      </c>
      <c r="H157" s="12" t="s">
        <v>150</v>
      </c>
      <c r="I157" s="12" t="s">
        <v>117</v>
      </c>
      <c r="J157" s="4" t="s">
        <v>186</v>
      </c>
      <c r="K157" s="4" t="s">
        <v>189</v>
      </c>
      <c r="L157" s="12" t="s">
        <v>131</v>
      </c>
      <c r="M157" s="12" t="s">
        <v>131</v>
      </c>
      <c r="N157" s="4" t="s">
        <v>477</v>
      </c>
      <c r="O157" s="9" t="s">
        <v>304</v>
      </c>
      <c r="P157" s="9" t="s">
        <v>305</v>
      </c>
      <c r="Q157" s="9" t="s">
        <v>306</v>
      </c>
      <c r="R157" s="9" t="s">
        <v>307</v>
      </c>
      <c r="Y157" s="10">
        <f>IF(S157="", "", IF(W157="Green", S157+30, IF(W157="Yellow", S157+7, IF(W157="Red", S157+2, ""))))</f>
        <v>0</v>
      </c>
      <c r="Z157" s="11">
        <f>IF(Y157="", "", (Y157-TODAY()) * 50 - V157 * 10 - G157 * 5 + IF(W157="Red", -20, IF(W157="Yellow", -10, 0)) - IFERROR(INDEX(Analytics!$F$5:$F$20, MATCH(C157, Analytics!$A$5:$A$20, 0)) * 5, 0) + MOD(A157, 7))</f>
        <v>0</v>
      </c>
    </row>
    <row r="158" spans="1:26">
      <c r="A158" s="11">
        <v>157</v>
      </c>
      <c r="B158" s="4" t="s">
        <v>516</v>
      </c>
      <c r="C158" s="12" t="s">
        <v>92</v>
      </c>
      <c r="D158" s="12" t="s">
        <v>55</v>
      </c>
      <c r="E158" s="12" t="s">
        <v>34</v>
      </c>
      <c r="F158" s="11">
        <v>20</v>
      </c>
      <c r="G158" s="11">
        <v>9</v>
      </c>
      <c r="H158" s="12" t="s">
        <v>150</v>
      </c>
      <c r="I158" s="12" t="s">
        <v>117</v>
      </c>
      <c r="J158" s="4" t="s">
        <v>186</v>
      </c>
      <c r="K158" s="4" t="s">
        <v>189</v>
      </c>
      <c r="L158" s="12" t="s">
        <v>131</v>
      </c>
      <c r="M158" s="12" t="s">
        <v>131</v>
      </c>
      <c r="N158" s="4" t="s">
        <v>404</v>
      </c>
      <c r="O158" s="9" t="s">
        <v>304</v>
      </c>
      <c r="P158" s="9" t="s">
        <v>305</v>
      </c>
      <c r="Q158" s="9" t="s">
        <v>306</v>
      </c>
      <c r="R158" s="9" t="s">
        <v>307</v>
      </c>
      <c r="Y158" s="10">
        <f>IF(S158="", "", IF(W158="Green", S158+30, IF(W158="Yellow", S158+7, IF(W158="Red", S158+2, ""))))</f>
        <v>0</v>
      </c>
      <c r="Z158" s="11">
        <f>IF(Y158="", "", (Y158-TODAY()) * 50 - V158 * 10 - G158 * 5 + IF(W158="Red", -20, IF(W158="Yellow", -10, 0)) - IFERROR(INDEX(Analytics!$F$5:$F$20, MATCH(C158, Analytics!$A$5:$A$20, 0)) * 5, 0) + MOD(A158, 7))</f>
        <v>0</v>
      </c>
    </row>
    <row r="159" spans="1:26">
      <c r="A159" s="11">
        <v>158</v>
      </c>
      <c r="B159" s="4" t="s">
        <v>517</v>
      </c>
      <c r="C159" s="12" t="s">
        <v>92</v>
      </c>
      <c r="D159" s="12" t="s">
        <v>55</v>
      </c>
      <c r="E159" s="12" t="s">
        <v>34</v>
      </c>
      <c r="F159" s="11">
        <v>20</v>
      </c>
      <c r="G159" s="11">
        <v>9</v>
      </c>
      <c r="H159" s="12" t="s">
        <v>117</v>
      </c>
      <c r="I159" s="12" t="s">
        <v>117</v>
      </c>
      <c r="J159" s="4" t="s">
        <v>186</v>
      </c>
      <c r="K159" s="4" t="s">
        <v>189</v>
      </c>
      <c r="L159" s="12" t="s">
        <v>131</v>
      </c>
      <c r="M159" s="12" t="s">
        <v>131</v>
      </c>
      <c r="N159" s="4" t="s">
        <v>315</v>
      </c>
      <c r="O159" s="9" t="s">
        <v>304</v>
      </c>
      <c r="P159" s="9" t="s">
        <v>305</v>
      </c>
      <c r="Q159" s="9" t="s">
        <v>306</v>
      </c>
      <c r="R159" s="9" t="s">
        <v>307</v>
      </c>
      <c r="Y159" s="10">
        <f>IF(S159="", "", IF(W159="Green", S159+30, IF(W159="Yellow", S159+7, IF(W159="Red", S159+2, ""))))</f>
        <v>0</v>
      </c>
      <c r="Z159" s="11">
        <f>IF(Y159="", "", (Y159-TODAY()) * 50 - V159 * 10 - G159 * 5 + IF(W159="Red", -20, IF(W159="Yellow", -10, 0)) - IFERROR(INDEX(Analytics!$F$5:$F$20, MATCH(C159, Analytics!$A$5:$A$20, 0)) * 5, 0) + MOD(A159, 7))</f>
        <v>0</v>
      </c>
    </row>
    <row r="160" spans="1:26">
      <c r="A160" s="11">
        <v>159</v>
      </c>
      <c r="B160" s="4" t="s">
        <v>518</v>
      </c>
      <c r="C160" s="12" t="s">
        <v>92</v>
      </c>
      <c r="D160" s="12" t="s">
        <v>55</v>
      </c>
      <c r="E160" s="12" t="s">
        <v>35</v>
      </c>
      <c r="F160" s="11">
        <v>40</v>
      </c>
      <c r="G160" s="11">
        <v>9</v>
      </c>
      <c r="H160" s="12" t="s">
        <v>150</v>
      </c>
      <c r="I160" s="12" t="s">
        <v>117</v>
      </c>
      <c r="J160" s="4" t="s">
        <v>186</v>
      </c>
      <c r="K160" s="4" t="s">
        <v>189</v>
      </c>
      <c r="L160" s="12" t="s">
        <v>131</v>
      </c>
      <c r="M160" s="12" t="s">
        <v>131</v>
      </c>
      <c r="N160" s="4" t="s">
        <v>338</v>
      </c>
      <c r="O160" s="9" t="s">
        <v>304</v>
      </c>
      <c r="P160" s="9" t="s">
        <v>305</v>
      </c>
      <c r="Q160" s="9" t="s">
        <v>306</v>
      </c>
      <c r="R160" s="9" t="s">
        <v>307</v>
      </c>
      <c r="Y160" s="10">
        <f>IF(S160="", "", IF(W160="Green", S160+30, IF(W160="Yellow", S160+7, IF(W160="Red", S160+2, ""))))</f>
        <v>0</v>
      </c>
      <c r="Z160" s="11">
        <f>IF(Y160="", "", (Y160-TODAY()) * 50 - V160 * 10 - G160 * 5 + IF(W160="Red", -20, IF(W160="Yellow", -10, 0)) - IFERROR(INDEX(Analytics!$F$5:$F$20, MATCH(C160, Analytics!$A$5:$A$20, 0)) * 5, 0) + MOD(A160, 7))</f>
        <v>0</v>
      </c>
    </row>
    <row r="161" spans="1:26">
      <c r="A161" s="11">
        <v>160</v>
      </c>
      <c r="B161" s="4" t="s">
        <v>519</v>
      </c>
      <c r="C161" s="12" t="s">
        <v>92</v>
      </c>
      <c r="D161" s="12" t="s">
        <v>55</v>
      </c>
      <c r="E161" s="12" t="s">
        <v>35</v>
      </c>
      <c r="F161" s="11">
        <v>40</v>
      </c>
      <c r="G161" s="11">
        <v>8</v>
      </c>
      <c r="H161" s="12" t="s">
        <v>317</v>
      </c>
      <c r="I161" s="12" t="s">
        <v>150</v>
      </c>
      <c r="J161" s="4" t="s">
        <v>186</v>
      </c>
      <c r="K161" s="4" t="s">
        <v>189</v>
      </c>
      <c r="L161" s="12" t="s">
        <v>131</v>
      </c>
      <c r="M161" s="12" t="s">
        <v>131</v>
      </c>
      <c r="N161" s="4" t="s">
        <v>324</v>
      </c>
      <c r="O161" s="9" t="s">
        <v>304</v>
      </c>
      <c r="P161" s="9" t="s">
        <v>305</v>
      </c>
      <c r="Q161" s="9" t="s">
        <v>306</v>
      </c>
      <c r="R161" s="9" t="s">
        <v>307</v>
      </c>
      <c r="Y161" s="10">
        <f>IF(S161="", "", IF(W161="Green", S161+30, IF(W161="Yellow", S161+7, IF(W161="Red", S161+2, ""))))</f>
        <v>0</v>
      </c>
      <c r="Z161" s="11">
        <f>IF(Y161="", "", (Y161-TODAY()) * 50 - V161 * 10 - G161 * 5 + IF(W161="Red", -20, IF(W161="Yellow", -10, 0)) - IFERROR(INDEX(Analytics!$F$5:$F$20, MATCH(C161, Analytics!$A$5:$A$20, 0)) * 5, 0) + MOD(A161, 7))</f>
        <v>0</v>
      </c>
    </row>
    <row r="162" spans="1:26">
      <c r="A162" s="11">
        <v>161</v>
      </c>
      <c r="B162" s="4" t="s">
        <v>520</v>
      </c>
      <c r="C162" s="12" t="s">
        <v>92</v>
      </c>
      <c r="D162" s="12" t="s">
        <v>55</v>
      </c>
      <c r="E162" s="12" t="s">
        <v>35</v>
      </c>
      <c r="F162" s="11">
        <v>40</v>
      </c>
      <c r="G162" s="11">
        <v>9</v>
      </c>
      <c r="H162" s="12" t="s">
        <v>117</v>
      </c>
      <c r="I162" s="12" t="s">
        <v>117</v>
      </c>
      <c r="J162" s="4" t="s">
        <v>186</v>
      </c>
      <c r="K162" s="4" t="s">
        <v>189</v>
      </c>
      <c r="L162" s="12" t="s">
        <v>131</v>
      </c>
      <c r="M162" s="12" t="s">
        <v>131</v>
      </c>
      <c r="N162" s="4" t="s">
        <v>499</v>
      </c>
      <c r="O162" s="9" t="s">
        <v>304</v>
      </c>
      <c r="P162" s="9" t="s">
        <v>305</v>
      </c>
      <c r="Q162" s="9" t="s">
        <v>306</v>
      </c>
      <c r="R162" s="9" t="s">
        <v>307</v>
      </c>
      <c r="Y162" s="10">
        <f>IF(S162="", "", IF(W162="Green", S162+30, IF(W162="Yellow", S162+7, IF(W162="Red", S162+2, ""))))</f>
        <v>0</v>
      </c>
      <c r="Z162" s="11">
        <f>IF(Y162="", "", (Y162-TODAY()) * 50 - V162 * 10 - G162 * 5 + IF(W162="Red", -20, IF(W162="Yellow", -10, 0)) - IFERROR(INDEX(Analytics!$F$5:$F$20, MATCH(C162, Analytics!$A$5:$A$20, 0)) * 5, 0) + MOD(A162, 7))</f>
        <v>0</v>
      </c>
    </row>
    <row r="163" spans="1:26">
      <c r="A163" s="11">
        <v>162</v>
      </c>
      <c r="B163" s="4" t="s">
        <v>521</v>
      </c>
      <c r="C163" s="12" t="s">
        <v>92</v>
      </c>
      <c r="D163" s="12" t="s">
        <v>55</v>
      </c>
      <c r="E163" s="12" t="s">
        <v>35</v>
      </c>
      <c r="F163" s="11">
        <v>40</v>
      </c>
      <c r="G163" s="11">
        <v>8</v>
      </c>
      <c r="H163" s="12" t="s">
        <v>150</v>
      </c>
      <c r="I163" s="12" t="s">
        <v>150</v>
      </c>
      <c r="J163" s="4" t="s">
        <v>186</v>
      </c>
      <c r="K163" s="4" t="s">
        <v>189</v>
      </c>
      <c r="L163" s="12" t="s">
        <v>131</v>
      </c>
      <c r="M163" s="12" t="s">
        <v>131</v>
      </c>
      <c r="N163" s="4" t="s">
        <v>324</v>
      </c>
      <c r="O163" s="9" t="s">
        <v>304</v>
      </c>
      <c r="P163" s="9" t="s">
        <v>305</v>
      </c>
      <c r="Q163" s="9" t="s">
        <v>306</v>
      </c>
      <c r="R163" s="9" t="s">
        <v>307</v>
      </c>
      <c r="Y163" s="10">
        <f>IF(S163="", "", IF(W163="Green", S163+30, IF(W163="Yellow", S163+7, IF(W163="Red", S163+2, ""))))</f>
        <v>0</v>
      </c>
      <c r="Z163" s="11">
        <f>IF(Y163="", "", (Y163-TODAY()) * 50 - V163 * 10 - G163 * 5 + IF(W163="Red", -20, IF(W163="Yellow", -10, 0)) - IFERROR(INDEX(Analytics!$F$5:$F$20, MATCH(C163, Analytics!$A$5:$A$20, 0)) * 5, 0) + MOD(A163, 7))</f>
        <v>0</v>
      </c>
    </row>
    <row r="164" spans="1:26">
      <c r="A164" s="11">
        <v>163</v>
      </c>
      <c r="B164" s="4" t="s">
        <v>522</v>
      </c>
      <c r="C164" s="12" t="s">
        <v>92</v>
      </c>
      <c r="D164" s="12" t="s">
        <v>55</v>
      </c>
      <c r="E164" s="12" t="s">
        <v>36</v>
      </c>
      <c r="F164" s="11">
        <v>60</v>
      </c>
      <c r="G164" s="11">
        <v>10</v>
      </c>
      <c r="H164" s="12" t="s">
        <v>117</v>
      </c>
      <c r="I164" s="12" t="s">
        <v>117</v>
      </c>
      <c r="J164" s="4" t="s">
        <v>186</v>
      </c>
      <c r="K164" s="4" t="s">
        <v>189</v>
      </c>
      <c r="L164" s="12" t="s">
        <v>131</v>
      </c>
      <c r="M164" s="12" t="s">
        <v>131</v>
      </c>
      <c r="N164" s="4" t="s">
        <v>352</v>
      </c>
      <c r="O164" s="9" t="s">
        <v>304</v>
      </c>
      <c r="P164" s="9" t="s">
        <v>305</v>
      </c>
      <c r="Q164" s="9" t="s">
        <v>306</v>
      </c>
      <c r="R164" s="9" t="s">
        <v>307</v>
      </c>
      <c r="Y164" s="10">
        <f>IF(S164="", "", IF(W164="Green", S164+30, IF(W164="Yellow", S164+7, IF(W164="Red", S164+2, ""))))</f>
        <v>0</v>
      </c>
      <c r="Z164" s="11">
        <f>IF(Y164="", "", (Y164-TODAY()) * 50 - V164 * 10 - G164 * 5 + IF(W164="Red", -20, IF(W164="Yellow", -10, 0)) - IFERROR(INDEX(Analytics!$F$5:$F$20, MATCH(C164, Analytics!$A$5:$A$20, 0)) * 5, 0) + MOD(A164, 7))</f>
        <v>0</v>
      </c>
    </row>
    <row r="165" spans="1:26">
      <c r="A165" s="11">
        <v>164</v>
      </c>
      <c r="B165" s="4" t="s">
        <v>523</v>
      </c>
      <c r="C165" s="12" t="s">
        <v>92</v>
      </c>
      <c r="D165" s="12" t="s">
        <v>55</v>
      </c>
      <c r="E165" s="12" t="s">
        <v>36</v>
      </c>
      <c r="F165" s="11">
        <v>60</v>
      </c>
      <c r="G165" s="11">
        <v>9</v>
      </c>
      <c r="H165" s="12" t="s">
        <v>150</v>
      </c>
      <c r="I165" s="12" t="s">
        <v>117</v>
      </c>
      <c r="J165" s="4" t="s">
        <v>186</v>
      </c>
      <c r="K165" s="4" t="s">
        <v>189</v>
      </c>
      <c r="L165" s="12" t="s">
        <v>131</v>
      </c>
      <c r="M165" s="12" t="s">
        <v>131</v>
      </c>
      <c r="N165" s="4" t="s">
        <v>336</v>
      </c>
      <c r="O165" s="9" t="s">
        <v>304</v>
      </c>
      <c r="P165" s="9" t="s">
        <v>305</v>
      </c>
      <c r="Q165" s="9" t="s">
        <v>306</v>
      </c>
      <c r="R165" s="9" t="s">
        <v>307</v>
      </c>
      <c r="Y165" s="10">
        <f>IF(S165="", "", IF(W165="Green", S165+30, IF(W165="Yellow", S165+7, IF(W165="Red", S165+2, ""))))</f>
        <v>0</v>
      </c>
      <c r="Z165" s="11">
        <f>IF(Y165="", "", (Y165-TODAY()) * 50 - V165 * 10 - G165 * 5 + IF(W165="Red", -20, IF(W165="Yellow", -10, 0)) - IFERROR(INDEX(Analytics!$F$5:$F$20, MATCH(C165, Analytics!$A$5:$A$20, 0)) * 5, 0) + MOD(A165, 7))</f>
        <v>0</v>
      </c>
    </row>
    <row r="166" spans="1:26">
      <c r="A166" s="11">
        <v>165</v>
      </c>
      <c r="B166" s="4" t="s">
        <v>524</v>
      </c>
      <c r="C166" s="12" t="s">
        <v>92</v>
      </c>
      <c r="D166" s="12" t="s">
        <v>55</v>
      </c>
      <c r="E166" s="12" t="s">
        <v>35</v>
      </c>
      <c r="F166" s="11">
        <v>40</v>
      </c>
      <c r="G166" s="11">
        <v>9</v>
      </c>
      <c r="H166" s="12" t="s">
        <v>150</v>
      </c>
      <c r="I166" s="12" t="s">
        <v>117</v>
      </c>
      <c r="J166" s="4" t="s">
        <v>186</v>
      </c>
      <c r="K166" s="4" t="s">
        <v>189</v>
      </c>
      <c r="L166" s="12" t="s">
        <v>131</v>
      </c>
      <c r="M166" s="12" t="s">
        <v>131</v>
      </c>
      <c r="N166" s="4" t="s">
        <v>328</v>
      </c>
      <c r="O166" s="9" t="s">
        <v>304</v>
      </c>
      <c r="P166" s="9" t="s">
        <v>305</v>
      </c>
      <c r="Q166" s="9" t="s">
        <v>306</v>
      </c>
      <c r="R166" s="9" t="s">
        <v>307</v>
      </c>
      <c r="Y166" s="10">
        <f>IF(S166="", "", IF(W166="Green", S166+30, IF(W166="Yellow", S166+7, IF(W166="Red", S166+2, ""))))</f>
        <v>0</v>
      </c>
      <c r="Z166" s="11">
        <f>IF(Y166="", "", (Y166-TODAY()) * 50 - V166 * 10 - G166 * 5 + IF(W166="Red", -20, IF(W166="Yellow", -10, 0)) - IFERROR(INDEX(Analytics!$F$5:$F$20, MATCH(C166, Analytics!$A$5:$A$20, 0)) * 5, 0) + MOD(A166, 7))</f>
        <v>0</v>
      </c>
    </row>
    <row r="167" spans="1:26">
      <c r="A167" s="11">
        <v>166</v>
      </c>
      <c r="B167" s="4" t="s">
        <v>525</v>
      </c>
      <c r="C167" s="12" t="s">
        <v>92</v>
      </c>
      <c r="D167" s="12" t="s">
        <v>55</v>
      </c>
      <c r="E167" s="12" t="s">
        <v>35</v>
      </c>
      <c r="F167" s="11">
        <v>40</v>
      </c>
      <c r="G167" s="11">
        <v>8</v>
      </c>
      <c r="H167" s="12" t="s">
        <v>150</v>
      </c>
      <c r="I167" s="12" t="s">
        <v>150</v>
      </c>
      <c r="J167" s="4" t="s">
        <v>186</v>
      </c>
      <c r="K167" s="4" t="s">
        <v>189</v>
      </c>
      <c r="L167" s="12" t="s">
        <v>131</v>
      </c>
      <c r="M167" s="12" t="s">
        <v>131</v>
      </c>
      <c r="N167" s="4" t="s">
        <v>436</v>
      </c>
      <c r="O167" s="9" t="s">
        <v>304</v>
      </c>
      <c r="P167" s="9" t="s">
        <v>305</v>
      </c>
      <c r="Q167" s="9" t="s">
        <v>306</v>
      </c>
      <c r="R167" s="9" t="s">
        <v>307</v>
      </c>
      <c r="Y167" s="10">
        <f>IF(S167="", "", IF(W167="Green", S167+30, IF(W167="Yellow", S167+7, IF(W167="Red", S167+2, ""))))</f>
        <v>0</v>
      </c>
      <c r="Z167" s="11">
        <f>IF(Y167="", "", (Y167-TODAY()) * 50 - V167 * 10 - G167 * 5 + IF(W167="Red", -20, IF(W167="Yellow", -10, 0)) - IFERROR(INDEX(Analytics!$F$5:$F$20, MATCH(C167, Analytics!$A$5:$A$20, 0)) * 5, 0) + MOD(A167, 7))</f>
        <v>0</v>
      </c>
    </row>
    <row r="168" spans="1:26">
      <c r="A168" s="11">
        <v>167</v>
      </c>
      <c r="B168" s="4" t="s">
        <v>526</v>
      </c>
      <c r="C168" s="12" t="s">
        <v>92</v>
      </c>
      <c r="D168" s="12" t="s">
        <v>63</v>
      </c>
      <c r="E168" s="12" t="s">
        <v>36</v>
      </c>
      <c r="F168" s="11">
        <v>60</v>
      </c>
      <c r="G168" s="11">
        <v>9</v>
      </c>
      <c r="H168" s="12" t="s">
        <v>117</v>
      </c>
      <c r="I168" s="12" t="s">
        <v>117</v>
      </c>
      <c r="J168" s="4" t="s">
        <v>136</v>
      </c>
      <c r="K168" s="4" t="s">
        <v>139</v>
      </c>
      <c r="L168" s="12" t="s">
        <v>131</v>
      </c>
      <c r="M168" s="12" t="s">
        <v>140</v>
      </c>
      <c r="N168" s="4" t="s">
        <v>332</v>
      </c>
      <c r="O168" s="9" t="s">
        <v>304</v>
      </c>
      <c r="P168" s="9" t="s">
        <v>305</v>
      </c>
      <c r="Q168" s="9" t="s">
        <v>306</v>
      </c>
      <c r="R168" s="9" t="s">
        <v>307</v>
      </c>
      <c r="Y168" s="10">
        <f>IF(S168="", "", IF(W168="Green", S168+30, IF(W168="Yellow", S168+7, IF(W168="Red", S168+2, ""))))</f>
        <v>0</v>
      </c>
      <c r="Z168" s="11">
        <f>IF(Y168="", "", (Y168-TODAY()) * 50 - V168 * 10 - G168 * 5 + IF(W168="Red", -20, IF(W168="Yellow", -10, 0)) - IFERROR(INDEX(Analytics!$F$5:$F$20, MATCH(C168, Analytics!$A$5:$A$20, 0)) * 5, 0) + MOD(A168, 7))</f>
        <v>0</v>
      </c>
    </row>
    <row r="169" spans="1:26">
      <c r="A169" s="11">
        <v>168</v>
      </c>
      <c r="B169" s="4" t="s">
        <v>527</v>
      </c>
      <c r="C169" s="12" t="s">
        <v>92</v>
      </c>
      <c r="D169" s="12" t="s">
        <v>59</v>
      </c>
      <c r="E169" s="12" t="s">
        <v>36</v>
      </c>
      <c r="F169" s="11">
        <v>60</v>
      </c>
      <c r="G169" s="11">
        <v>9</v>
      </c>
      <c r="H169" s="12" t="s">
        <v>117</v>
      </c>
      <c r="I169" s="12" t="s">
        <v>117</v>
      </c>
      <c r="J169" s="4" t="s">
        <v>127</v>
      </c>
      <c r="K169" s="4" t="s">
        <v>130</v>
      </c>
      <c r="L169" s="12" t="s">
        <v>131</v>
      </c>
      <c r="M169" s="12" t="s">
        <v>132</v>
      </c>
      <c r="N169" s="4" t="s">
        <v>336</v>
      </c>
      <c r="O169" s="9" t="s">
        <v>304</v>
      </c>
      <c r="P169" s="9" t="s">
        <v>305</v>
      </c>
      <c r="Q169" s="9" t="s">
        <v>306</v>
      </c>
      <c r="R169" s="9" t="s">
        <v>307</v>
      </c>
      <c r="Y169" s="10">
        <f>IF(S169="", "", IF(W169="Green", S169+30, IF(W169="Yellow", S169+7, IF(W169="Red", S169+2, ""))))</f>
        <v>0</v>
      </c>
      <c r="Z169" s="11">
        <f>IF(Y169="", "", (Y169-TODAY()) * 50 - V169 * 10 - G169 * 5 + IF(W169="Red", -20, IF(W169="Yellow", -10, 0)) - IFERROR(INDEX(Analytics!$F$5:$F$20, MATCH(C169, Analytics!$A$5:$A$20, 0)) * 5, 0) + MOD(A169, 7))</f>
        <v>0</v>
      </c>
    </row>
    <row r="170" spans="1:26">
      <c r="A170" s="11">
        <v>169</v>
      </c>
      <c r="B170" s="4" t="s">
        <v>528</v>
      </c>
      <c r="C170" s="12" t="s">
        <v>92</v>
      </c>
      <c r="D170" s="12" t="s">
        <v>55</v>
      </c>
      <c r="E170" s="12" t="s">
        <v>34</v>
      </c>
      <c r="F170" s="11">
        <v>20</v>
      </c>
      <c r="G170" s="11">
        <v>8</v>
      </c>
      <c r="H170" s="12" t="s">
        <v>150</v>
      </c>
      <c r="I170" s="12" t="s">
        <v>150</v>
      </c>
      <c r="J170" s="4" t="s">
        <v>186</v>
      </c>
      <c r="K170" s="4" t="s">
        <v>189</v>
      </c>
      <c r="L170" s="12" t="s">
        <v>131</v>
      </c>
      <c r="M170" s="12" t="s">
        <v>131</v>
      </c>
      <c r="N170" s="4" t="s">
        <v>313</v>
      </c>
      <c r="O170" s="9" t="s">
        <v>304</v>
      </c>
      <c r="P170" s="9" t="s">
        <v>305</v>
      </c>
      <c r="Q170" s="9" t="s">
        <v>306</v>
      </c>
      <c r="R170" s="9" t="s">
        <v>307</v>
      </c>
      <c r="Y170" s="10">
        <f>IF(S170="", "", IF(W170="Green", S170+30, IF(W170="Yellow", S170+7, IF(W170="Red", S170+2, ""))))</f>
        <v>0</v>
      </c>
      <c r="Z170" s="11">
        <f>IF(Y170="", "", (Y170-TODAY()) * 50 - V170 * 10 - G170 * 5 + IF(W170="Red", -20, IF(W170="Yellow", -10, 0)) - IFERROR(INDEX(Analytics!$F$5:$F$20, MATCH(C170, Analytics!$A$5:$A$20, 0)) * 5, 0) + MOD(A170, 7))</f>
        <v>0</v>
      </c>
    </row>
    <row r="171" spans="1:26">
      <c r="A171" s="11">
        <v>170</v>
      </c>
      <c r="B171" s="4" t="s">
        <v>529</v>
      </c>
      <c r="C171" s="12" t="s">
        <v>92</v>
      </c>
      <c r="D171" s="12" t="s">
        <v>55</v>
      </c>
      <c r="E171" s="12" t="s">
        <v>35</v>
      </c>
      <c r="F171" s="11">
        <v>40</v>
      </c>
      <c r="G171" s="11">
        <v>9</v>
      </c>
      <c r="H171" s="12" t="s">
        <v>150</v>
      </c>
      <c r="I171" s="12" t="s">
        <v>117</v>
      </c>
      <c r="J171" s="4" t="s">
        <v>186</v>
      </c>
      <c r="K171" s="4" t="s">
        <v>189</v>
      </c>
      <c r="L171" s="12" t="s">
        <v>131</v>
      </c>
      <c r="M171" s="12" t="s">
        <v>131</v>
      </c>
      <c r="N171" s="4" t="s">
        <v>354</v>
      </c>
      <c r="O171" s="9" t="s">
        <v>304</v>
      </c>
      <c r="P171" s="9" t="s">
        <v>305</v>
      </c>
      <c r="Q171" s="9" t="s">
        <v>306</v>
      </c>
      <c r="R171" s="9" t="s">
        <v>307</v>
      </c>
      <c r="Y171" s="10">
        <f>IF(S171="", "", IF(W171="Green", S171+30, IF(W171="Yellow", S171+7, IF(W171="Red", S171+2, ""))))</f>
        <v>0</v>
      </c>
      <c r="Z171" s="11">
        <f>IF(Y171="", "", (Y171-TODAY()) * 50 - V171 * 10 - G171 * 5 + IF(W171="Red", -20, IF(W171="Yellow", -10, 0)) - IFERROR(INDEX(Analytics!$F$5:$F$20, MATCH(C171, Analytics!$A$5:$A$20, 0)) * 5, 0) + MOD(A171, 7))</f>
        <v>0</v>
      </c>
    </row>
    <row r="172" spans="1:26">
      <c r="A172" s="11">
        <v>171</v>
      </c>
      <c r="B172" s="4" t="s">
        <v>530</v>
      </c>
      <c r="C172" s="12" t="s">
        <v>92</v>
      </c>
      <c r="D172" s="12" t="s">
        <v>49</v>
      </c>
      <c r="E172" s="12" t="s">
        <v>36</v>
      </c>
      <c r="F172" s="11">
        <v>60</v>
      </c>
      <c r="G172" s="11">
        <v>10</v>
      </c>
      <c r="H172" s="12" t="s">
        <v>117</v>
      </c>
      <c r="I172" s="12" t="s">
        <v>117</v>
      </c>
      <c r="J172" s="4" t="s">
        <v>119</v>
      </c>
      <c r="K172" s="4" t="s">
        <v>122</v>
      </c>
      <c r="L172" s="12" t="s">
        <v>123</v>
      </c>
      <c r="M172" s="12" t="s">
        <v>124</v>
      </c>
      <c r="N172" s="4" t="s">
        <v>357</v>
      </c>
      <c r="O172" s="9" t="s">
        <v>304</v>
      </c>
      <c r="P172" s="9" t="s">
        <v>305</v>
      </c>
      <c r="Q172" s="9" t="s">
        <v>306</v>
      </c>
      <c r="R172" s="9" t="s">
        <v>307</v>
      </c>
      <c r="Y172" s="10">
        <f>IF(S172="", "", IF(W172="Green", S172+30, IF(W172="Yellow", S172+7, IF(W172="Red", S172+2, ""))))</f>
        <v>0</v>
      </c>
      <c r="Z172" s="11">
        <f>IF(Y172="", "", (Y172-TODAY()) * 50 - V172 * 10 - G172 * 5 + IF(W172="Red", -20, IF(W172="Yellow", -10, 0)) - IFERROR(INDEX(Analytics!$F$5:$F$20, MATCH(C172, Analytics!$A$5:$A$20, 0)) * 5, 0) + MOD(A172, 7))</f>
        <v>0</v>
      </c>
    </row>
    <row r="173" spans="1:26">
      <c r="A173" s="11">
        <v>172</v>
      </c>
      <c r="B173" s="4" t="s">
        <v>531</v>
      </c>
      <c r="C173" s="12" t="s">
        <v>92</v>
      </c>
      <c r="D173" s="12" t="s">
        <v>49</v>
      </c>
      <c r="E173" s="12" t="s">
        <v>36</v>
      </c>
      <c r="F173" s="11">
        <v>60</v>
      </c>
      <c r="G173" s="11">
        <v>8</v>
      </c>
      <c r="H173" s="12" t="s">
        <v>317</v>
      </c>
      <c r="I173" s="12" t="s">
        <v>150</v>
      </c>
      <c r="J173" s="4" t="s">
        <v>119</v>
      </c>
      <c r="K173" s="4" t="s">
        <v>122</v>
      </c>
      <c r="L173" s="12" t="s">
        <v>123</v>
      </c>
      <c r="M173" s="12" t="s">
        <v>124</v>
      </c>
      <c r="N173" s="4" t="s">
        <v>336</v>
      </c>
      <c r="O173" s="9" t="s">
        <v>304</v>
      </c>
      <c r="P173" s="9" t="s">
        <v>305</v>
      </c>
      <c r="Q173" s="9" t="s">
        <v>306</v>
      </c>
      <c r="R173" s="9" t="s">
        <v>307</v>
      </c>
      <c r="Y173" s="10">
        <f>IF(S173="", "", IF(W173="Green", S173+30, IF(W173="Yellow", S173+7, IF(W173="Red", S173+2, ""))))</f>
        <v>0</v>
      </c>
      <c r="Z173" s="11">
        <f>IF(Y173="", "", (Y173-TODAY()) * 50 - V173 * 10 - G173 * 5 + IF(W173="Red", -20, IF(W173="Yellow", -10, 0)) - IFERROR(INDEX(Analytics!$F$5:$F$20, MATCH(C173, Analytics!$A$5:$A$20, 0)) * 5, 0) + MOD(A173, 7))</f>
        <v>0</v>
      </c>
    </row>
    <row r="174" spans="1:26">
      <c r="A174" s="11">
        <v>173</v>
      </c>
      <c r="B174" s="4" t="s">
        <v>532</v>
      </c>
      <c r="C174" s="12" t="s">
        <v>92</v>
      </c>
      <c r="D174" s="12" t="s">
        <v>40</v>
      </c>
      <c r="E174" s="12" t="s">
        <v>35</v>
      </c>
      <c r="F174" s="11">
        <v>40</v>
      </c>
      <c r="G174" s="11">
        <v>10</v>
      </c>
      <c r="H174" s="12" t="s">
        <v>117</v>
      </c>
      <c r="I174" s="12" t="s">
        <v>117</v>
      </c>
      <c r="J174" s="4" t="s">
        <v>236</v>
      </c>
      <c r="K174" s="4" t="s">
        <v>239</v>
      </c>
      <c r="L174" s="12" t="s">
        <v>232</v>
      </c>
      <c r="M174" s="12" t="s">
        <v>240</v>
      </c>
      <c r="N174" s="4" t="s">
        <v>533</v>
      </c>
      <c r="O174" s="9" t="s">
        <v>304</v>
      </c>
      <c r="P174" s="9" t="s">
        <v>305</v>
      </c>
      <c r="Q174" s="9" t="s">
        <v>306</v>
      </c>
      <c r="R174" s="9" t="s">
        <v>307</v>
      </c>
      <c r="Y174" s="10">
        <f>IF(S174="", "", IF(W174="Green", S174+30, IF(W174="Yellow", S174+7, IF(W174="Red", S174+2, ""))))</f>
        <v>0</v>
      </c>
      <c r="Z174" s="11">
        <f>IF(Y174="", "", (Y174-TODAY()) * 50 - V174 * 10 - G174 * 5 + IF(W174="Red", -20, IF(W174="Yellow", -10, 0)) - IFERROR(INDEX(Analytics!$F$5:$F$20, MATCH(C174, Analytics!$A$5:$A$20, 0)) * 5, 0) + MOD(A174, 7))</f>
        <v>0</v>
      </c>
    </row>
    <row r="175" spans="1:26">
      <c r="A175" s="11">
        <v>174</v>
      </c>
      <c r="B175" s="4" t="s">
        <v>534</v>
      </c>
      <c r="C175" s="12" t="s">
        <v>92</v>
      </c>
      <c r="D175" s="12" t="s">
        <v>55</v>
      </c>
      <c r="E175" s="12" t="s">
        <v>36</v>
      </c>
      <c r="F175" s="11">
        <v>60</v>
      </c>
      <c r="G175" s="11">
        <v>8</v>
      </c>
      <c r="H175" s="12" t="s">
        <v>317</v>
      </c>
      <c r="I175" s="12" t="s">
        <v>150</v>
      </c>
      <c r="J175" s="4" t="s">
        <v>186</v>
      </c>
      <c r="K175" s="4" t="s">
        <v>189</v>
      </c>
      <c r="L175" s="12" t="s">
        <v>131</v>
      </c>
      <c r="M175" s="12" t="s">
        <v>131</v>
      </c>
      <c r="N175" s="4" t="s">
        <v>386</v>
      </c>
      <c r="O175" s="9" t="s">
        <v>304</v>
      </c>
      <c r="P175" s="9" t="s">
        <v>305</v>
      </c>
      <c r="Q175" s="9" t="s">
        <v>306</v>
      </c>
      <c r="R175" s="9" t="s">
        <v>307</v>
      </c>
      <c r="Y175" s="10">
        <f>IF(S175="", "", IF(W175="Green", S175+30, IF(W175="Yellow", S175+7, IF(W175="Red", S175+2, ""))))</f>
        <v>0</v>
      </c>
      <c r="Z175" s="11">
        <f>IF(Y175="", "", (Y175-TODAY()) * 50 - V175 * 10 - G175 * 5 + IF(W175="Red", -20, IF(W175="Yellow", -10, 0)) - IFERROR(INDEX(Analytics!$F$5:$F$20, MATCH(C175, Analytics!$A$5:$A$20, 0)) * 5, 0) + MOD(A175, 7))</f>
        <v>0</v>
      </c>
    </row>
    <row r="176" spans="1:26">
      <c r="A176" s="11">
        <v>175</v>
      </c>
      <c r="B176" s="4" t="s">
        <v>535</v>
      </c>
      <c r="C176" s="12" t="s">
        <v>92</v>
      </c>
      <c r="D176" s="12" t="s">
        <v>55</v>
      </c>
      <c r="E176" s="12" t="s">
        <v>35</v>
      </c>
      <c r="F176" s="11">
        <v>40</v>
      </c>
      <c r="G176" s="11">
        <v>8</v>
      </c>
      <c r="H176" s="12" t="s">
        <v>150</v>
      </c>
      <c r="I176" s="12" t="s">
        <v>150</v>
      </c>
      <c r="J176" s="4" t="s">
        <v>186</v>
      </c>
      <c r="K176" s="4" t="s">
        <v>189</v>
      </c>
      <c r="L176" s="12" t="s">
        <v>131</v>
      </c>
      <c r="M176" s="12" t="s">
        <v>131</v>
      </c>
      <c r="N176" s="4" t="s">
        <v>75</v>
      </c>
      <c r="O176" s="9" t="s">
        <v>304</v>
      </c>
      <c r="P176" s="9" t="s">
        <v>305</v>
      </c>
      <c r="Q176" s="9" t="s">
        <v>306</v>
      </c>
      <c r="R176" s="9" t="s">
        <v>307</v>
      </c>
      <c r="Y176" s="10">
        <f>IF(S176="", "", IF(W176="Green", S176+30, IF(W176="Yellow", S176+7, IF(W176="Red", S176+2, ""))))</f>
        <v>0</v>
      </c>
      <c r="Z176" s="11">
        <f>IF(Y176="", "", (Y176-TODAY()) * 50 - V176 * 10 - G176 * 5 + IF(W176="Red", -20, IF(W176="Yellow", -10, 0)) - IFERROR(INDEX(Analytics!$F$5:$F$20, MATCH(C176, Analytics!$A$5:$A$20, 0)) * 5, 0) + MOD(A176, 7))</f>
        <v>0</v>
      </c>
    </row>
    <row r="177" spans="1:26">
      <c r="A177" s="11">
        <v>176</v>
      </c>
      <c r="B177" s="4" t="s">
        <v>536</v>
      </c>
      <c r="C177" s="12" t="s">
        <v>92</v>
      </c>
      <c r="D177" s="12" t="s">
        <v>55</v>
      </c>
      <c r="E177" s="12" t="s">
        <v>34</v>
      </c>
      <c r="F177" s="11">
        <v>20</v>
      </c>
      <c r="G177" s="11">
        <v>8</v>
      </c>
      <c r="H177" s="12" t="s">
        <v>317</v>
      </c>
      <c r="I177" s="12" t="s">
        <v>150</v>
      </c>
      <c r="J177" s="4" t="s">
        <v>186</v>
      </c>
      <c r="K177" s="4" t="s">
        <v>189</v>
      </c>
      <c r="L177" s="12" t="s">
        <v>131</v>
      </c>
      <c r="M177" s="12" t="s">
        <v>131</v>
      </c>
      <c r="N177" s="4" t="s">
        <v>70</v>
      </c>
      <c r="O177" s="9" t="s">
        <v>304</v>
      </c>
      <c r="P177" s="9" t="s">
        <v>305</v>
      </c>
      <c r="Q177" s="9" t="s">
        <v>306</v>
      </c>
      <c r="R177" s="9" t="s">
        <v>307</v>
      </c>
      <c r="Y177" s="10">
        <f>IF(S177="", "", IF(W177="Green", S177+30, IF(W177="Yellow", S177+7, IF(W177="Red", S177+2, ""))))</f>
        <v>0</v>
      </c>
      <c r="Z177" s="11">
        <f>IF(Y177="", "", (Y177-TODAY()) * 50 - V177 * 10 - G177 * 5 + IF(W177="Red", -20, IF(W177="Yellow", -10, 0)) - IFERROR(INDEX(Analytics!$F$5:$F$20, MATCH(C177, Analytics!$A$5:$A$20, 0)) * 5, 0) + MOD(A177, 7))</f>
        <v>0</v>
      </c>
    </row>
    <row r="178" spans="1:26">
      <c r="A178" s="11">
        <v>177</v>
      </c>
      <c r="B178" s="4" t="s">
        <v>537</v>
      </c>
      <c r="C178" s="12" t="s">
        <v>92</v>
      </c>
      <c r="D178" s="12" t="s">
        <v>55</v>
      </c>
      <c r="E178" s="12" t="s">
        <v>34</v>
      </c>
      <c r="F178" s="11">
        <v>20</v>
      </c>
      <c r="G178" s="11">
        <v>8</v>
      </c>
      <c r="H178" s="12" t="s">
        <v>317</v>
      </c>
      <c r="I178" s="12" t="s">
        <v>150</v>
      </c>
      <c r="J178" s="4" t="s">
        <v>186</v>
      </c>
      <c r="K178" s="4" t="s">
        <v>189</v>
      </c>
      <c r="L178" s="12" t="s">
        <v>131</v>
      </c>
      <c r="M178" s="12" t="s">
        <v>131</v>
      </c>
      <c r="N178" s="4" t="s">
        <v>538</v>
      </c>
      <c r="O178" s="9" t="s">
        <v>304</v>
      </c>
      <c r="P178" s="9" t="s">
        <v>305</v>
      </c>
      <c r="Q178" s="9" t="s">
        <v>306</v>
      </c>
      <c r="R178" s="9" t="s">
        <v>307</v>
      </c>
      <c r="Y178" s="10">
        <f>IF(S178="", "", IF(W178="Green", S178+30, IF(W178="Yellow", S178+7, IF(W178="Red", S178+2, ""))))</f>
        <v>0</v>
      </c>
      <c r="Z178" s="11">
        <f>IF(Y178="", "", (Y178-TODAY()) * 50 - V178 * 10 - G178 * 5 + IF(W178="Red", -20, IF(W178="Yellow", -10, 0)) - IFERROR(INDEX(Analytics!$F$5:$F$20, MATCH(C178, Analytics!$A$5:$A$20, 0)) * 5, 0) + MOD(A178, 7))</f>
        <v>0</v>
      </c>
    </row>
    <row r="179" spans="1:26">
      <c r="A179" s="11">
        <v>178</v>
      </c>
      <c r="B179" s="4" t="s">
        <v>539</v>
      </c>
      <c r="C179" s="12" t="s">
        <v>92</v>
      </c>
      <c r="D179" s="12" t="s">
        <v>55</v>
      </c>
      <c r="E179" s="12" t="s">
        <v>35</v>
      </c>
      <c r="F179" s="11">
        <v>40</v>
      </c>
      <c r="G179" s="11">
        <v>9</v>
      </c>
      <c r="H179" s="12" t="s">
        <v>150</v>
      </c>
      <c r="I179" s="12" t="s">
        <v>117</v>
      </c>
      <c r="J179" s="4" t="s">
        <v>186</v>
      </c>
      <c r="K179" s="4" t="s">
        <v>189</v>
      </c>
      <c r="L179" s="12" t="s">
        <v>131</v>
      </c>
      <c r="M179" s="12" t="s">
        <v>131</v>
      </c>
      <c r="N179" s="4" t="s">
        <v>336</v>
      </c>
      <c r="O179" s="9" t="s">
        <v>304</v>
      </c>
      <c r="P179" s="9" t="s">
        <v>305</v>
      </c>
      <c r="Q179" s="9" t="s">
        <v>306</v>
      </c>
      <c r="R179" s="9" t="s">
        <v>307</v>
      </c>
      <c r="Y179" s="10">
        <f>IF(S179="", "", IF(W179="Green", S179+30, IF(W179="Yellow", S179+7, IF(W179="Red", S179+2, ""))))</f>
        <v>0</v>
      </c>
      <c r="Z179" s="11">
        <f>IF(Y179="", "", (Y179-TODAY()) * 50 - V179 * 10 - G179 * 5 + IF(W179="Red", -20, IF(W179="Yellow", -10, 0)) - IFERROR(INDEX(Analytics!$F$5:$F$20, MATCH(C179, Analytics!$A$5:$A$20, 0)) * 5, 0) + MOD(A179, 7))</f>
        <v>0</v>
      </c>
    </row>
    <row r="180" spans="1:26">
      <c r="A180" s="11">
        <v>179</v>
      </c>
      <c r="B180" s="4" t="s">
        <v>540</v>
      </c>
      <c r="C180" s="12" t="s">
        <v>48</v>
      </c>
      <c r="D180" s="12" t="s">
        <v>51</v>
      </c>
      <c r="E180" s="12" t="s">
        <v>34</v>
      </c>
      <c r="F180" s="11">
        <v>20</v>
      </c>
      <c r="G180" s="11">
        <v>10</v>
      </c>
      <c r="H180" s="12" t="s">
        <v>117</v>
      </c>
      <c r="I180" s="12" t="s">
        <v>117</v>
      </c>
      <c r="J180" s="4" t="s">
        <v>179</v>
      </c>
      <c r="K180" s="4" t="s">
        <v>182</v>
      </c>
      <c r="L180" s="12" t="s">
        <v>183</v>
      </c>
      <c r="M180" s="12" t="s">
        <v>131</v>
      </c>
      <c r="N180" s="4" t="s">
        <v>421</v>
      </c>
      <c r="O180" s="9" t="s">
        <v>304</v>
      </c>
      <c r="P180" s="9" t="s">
        <v>305</v>
      </c>
      <c r="Q180" s="9" t="s">
        <v>306</v>
      </c>
      <c r="R180" s="9" t="s">
        <v>307</v>
      </c>
      <c r="Y180" s="10">
        <f>IF(S180="", "", IF(W180="Green", S180+30, IF(W180="Yellow", S180+7, IF(W180="Red", S180+2, ""))))</f>
        <v>0</v>
      </c>
      <c r="Z180" s="11">
        <f>IF(Y180="", "", (Y180-TODAY()) * 50 - V180 * 10 - G180 * 5 + IF(W180="Red", -20, IF(W180="Yellow", -10, 0)) - IFERROR(INDEX(Analytics!$F$5:$F$20, MATCH(C180, Analytics!$A$5:$A$20, 0)) * 5, 0) + MOD(A180, 7))</f>
        <v>0</v>
      </c>
    </row>
    <row r="181" spans="1:26">
      <c r="A181" s="11">
        <v>180</v>
      </c>
      <c r="B181" s="4" t="s">
        <v>541</v>
      </c>
      <c r="C181" s="12" t="s">
        <v>48</v>
      </c>
      <c r="D181" s="12" t="s">
        <v>51</v>
      </c>
      <c r="E181" s="12" t="s">
        <v>34</v>
      </c>
      <c r="F181" s="11">
        <v>20</v>
      </c>
      <c r="G181" s="11">
        <v>9</v>
      </c>
      <c r="H181" s="12" t="s">
        <v>150</v>
      </c>
      <c r="I181" s="12" t="s">
        <v>117</v>
      </c>
      <c r="J181" s="4" t="s">
        <v>179</v>
      </c>
      <c r="K181" s="4" t="s">
        <v>182</v>
      </c>
      <c r="L181" s="12" t="s">
        <v>183</v>
      </c>
      <c r="M181" s="12" t="s">
        <v>131</v>
      </c>
      <c r="N181" s="4" t="s">
        <v>423</v>
      </c>
      <c r="O181" s="9" t="s">
        <v>304</v>
      </c>
      <c r="P181" s="9" t="s">
        <v>305</v>
      </c>
      <c r="Q181" s="9" t="s">
        <v>306</v>
      </c>
      <c r="R181" s="9" t="s">
        <v>307</v>
      </c>
      <c r="Y181" s="10">
        <f>IF(S181="", "", IF(W181="Green", S181+30, IF(W181="Yellow", S181+7, IF(W181="Red", S181+2, ""))))</f>
        <v>0</v>
      </c>
      <c r="Z181" s="11">
        <f>IF(Y181="", "", (Y181-TODAY()) * 50 - V181 * 10 - G181 * 5 + IF(W181="Red", -20, IF(W181="Yellow", -10, 0)) - IFERROR(INDEX(Analytics!$F$5:$F$20, MATCH(C181, Analytics!$A$5:$A$20, 0)) * 5, 0) + MOD(A181, 7))</f>
        <v>0</v>
      </c>
    </row>
    <row r="182" spans="1:26">
      <c r="A182" s="11">
        <v>181</v>
      </c>
      <c r="B182" s="4" t="s">
        <v>542</v>
      </c>
      <c r="C182" s="12" t="s">
        <v>48</v>
      </c>
      <c r="D182" s="12" t="s">
        <v>48</v>
      </c>
      <c r="E182" s="12" t="s">
        <v>35</v>
      </c>
      <c r="F182" s="11">
        <v>40</v>
      </c>
      <c r="G182" s="11">
        <v>10</v>
      </c>
      <c r="H182" s="12" t="s">
        <v>117</v>
      </c>
      <c r="I182" s="12" t="s">
        <v>117</v>
      </c>
      <c r="J182" s="4" t="s">
        <v>171</v>
      </c>
      <c r="K182" s="4" t="s">
        <v>174</v>
      </c>
      <c r="L182" s="12" t="s">
        <v>175</v>
      </c>
      <c r="M182" s="12" t="s">
        <v>176</v>
      </c>
      <c r="N182" s="4" t="s">
        <v>477</v>
      </c>
      <c r="O182" s="9" t="s">
        <v>304</v>
      </c>
      <c r="P182" s="9" t="s">
        <v>305</v>
      </c>
      <c r="Q182" s="9" t="s">
        <v>306</v>
      </c>
      <c r="R182" s="9" t="s">
        <v>307</v>
      </c>
      <c r="Y182" s="10">
        <f>IF(S182="", "", IF(W182="Green", S182+30, IF(W182="Yellow", S182+7, IF(W182="Red", S182+2, ""))))</f>
        <v>0</v>
      </c>
      <c r="Z182" s="11">
        <f>IF(Y182="", "", (Y182-TODAY()) * 50 - V182 * 10 - G182 * 5 + IF(W182="Red", -20, IF(W182="Yellow", -10, 0)) - IFERROR(INDEX(Analytics!$F$5:$F$20, MATCH(C182, Analytics!$A$5:$A$20, 0)) * 5, 0) + MOD(A182, 7))</f>
        <v>0</v>
      </c>
    </row>
    <row r="183" spans="1:26">
      <c r="A183" s="11">
        <v>182</v>
      </c>
      <c r="B183" s="4" t="s">
        <v>543</v>
      </c>
      <c r="C183" s="12" t="s">
        <v>48</v>
      </c>
      <c r="D183" s="12" t="s">
        <v>48</v>
      </c>
      <c r="E183" s="12" t="s">
        <v>34</v>
      </c>
      <c r="F183" s="11">
        <v>20</v>
      </c>
      <c r="G183" s="11">
        <v>9</v>
      </c>
      <c r="H183" s="12" t="s">
        <v>117</v>
      </c>
      <c r="I183" s="12" t="s">
        <v>117</v>
      </c>
      <c r="J183" s="4" t="s">
        <v>171</v>
      </c>
      <c r="K183" s="4" t="s">
        <v>174</v>
      </c>
      <c r="L183" s="12" t="s">
        <v>175</v>
      </c>
      <c r="M183" s="12" t="s">
        <v>176</v>
      </c>
      <c r="N183" s="4" t="s">
        <v>404</v>
      </c>
      <c r="O183" s="9" t="s">
        <v>304</v>
      </c>
      <c r="P183" s="9" t="s">
        <v>305</v>
      </c>
      <c r="Q183" s="9" t="s">
        <v>306</v>
      </c>
      <c r="R183" s="9" t="s">
        <v>307</v>
      </c>
      <c r="Y183" s="10">
        <f>IF(S183="", "", IF(W183="Green", S183+30, IF(W183="Yellow", S183+7, IF(W183="Red", S183+2, ""))))</f>
        <v>0</v>
      </c>
      <c r="Z183" s="11">
        <f>IF(Y183="", "", (Y183-TODAY()) * 50 - V183 * 10 - G183 * 5 + IF(W183="Red", -20, IF(W183="Yellow", -10, 0)) - IFERROR(INDEX(Analytics!$F$5:$F$20, MATCH(C183, Analytics!$A$5:$A$20, 0)) * 5, 0) + MOD(A183, 7))</f>
        <v>0</v>
      </c>
    </row>
    <row r="184" spans="1:26">
      <c r="A184" s="11">
        <v>183</v>
      </c>
      <c r="B184" s="4" t="s">
        <v>544</v>
      </c>
      <c r="C184" s="12" t="s">
        <v>48</v>
      </c>
      <c r="D184" s="12" t="s">
        <v>48</v>
      </c>
      <c r="E184" s="12" t="s">
        <v>34</v>
      </c>
      <c r="F184" s="11">
        <v>20</v>
      </c>
      <c r="G184" s="11">
        <v>8</v>
      </c>
      <c r="H184" s="12" t="s">
        <v>150</v>
      </c>
      <c r="I184" s="12" t="s">
        <v>150</v>
      </c>
      <c r="J184" s="4" t="s">
        <v>171</v>
      </c>
      <c r="K184" s="4" t="s">
        <v>174</v>
      </c>
      <c r="L184" s="12" t="s">
        <v>175</v>
      </c>
      <c r="M184" s="12" t="s">
        <v>176</v>
      </c>
      <c r="N184" s="4" t="s">
        <v>315</v>
      </c>
      <c r="O184" s="9" t="s">
        <v>304</v>
      </c>
      <c r="P184" s="9" t="s">
        <v>305</v>
      </c>
      <c r="Q184" s="9" t="s">
        <v>306</v>
      </c>
      <c r="R184" s="9" t="s">
        <v>307</v>
      </c>
      <c r="Y184" s="10">
        <f>IF(S184="", "", IF(W184="Green", S184+30, IF(W184="Yellow", S184+7, IF(W184="Red", S184+2, ""))))</f>
        <v>0</v>
      </c>
      <c r="Z184" s="11">
        <f>IF(Y184="", "", (Y184-TODAY()) * 50 - V184 * 10 - G184 * 5 + IF(W184="Red", -20, IF(W184="Yellow", -10, 0)) - IFERROR(INDEX(Analytics!$F$5:$F$20, MATCH(C184, Analytics!$A$5:$A$20, 0)) * 5, 0) + MOD(A184, 7))</f>
        <v>0</v>
      </c>
    </row>
    <row r="185" spans="1:26">
      <c r="A185" s="11">
        <v>184</v>
      </c>
      <c r="B185" s="4" t="s">
        <v>545</v>
      </c>
      <c r="C185" s="12" t="s">
        <v>48</v>
      </c>
      <c r="D185" s="12" t="s">
        <v>51</v>
      </c>
      <c r="E185" s="12" t="s">
        <v>35</v>
      </c>
      <c r="F185" s="11">
        <v>40</v>
      </c>
      <c r="G185" s="11">
        <v>10</v>
      </c>
      <c r="H185" s="12" t="s">
        <v>117</v>
      </c>
      <c r="I185" s="12" t="s">
        <v>117</v>
      </c>
      <c r="J185" s="4" t="s">
        <v>179</v>
      </c>
      <c r="K185" s="4" t="s">
        <v>182</v>
      </c>
      <c r="L185" s="12" t="s">
        <v>183</v>
      </c>
      <c r="M185" s="12" t="s">
        <v>131</v>
      </c>
      <c r="N185" s="4" t="s">
        <v>481</v>
      </c>
      <c r="O185" s="9" t="s">
        <v>304</v>
      </c>
      <c r="P185" s="9" t="s">
        <v>305</v>
      </c>
      <c r="Q185" s="9" t="s">
        <v>306</v>
      </c>
      <c r="R185" s="9" t="s">
        <v>307</v>
      </c>
      <c r="Y185" s="10">
        <f>IF(S185="", "", IF(W185="Green", S185+30, IF(W185="Yellow", S185+7, IF(W185="Red", S185+2, ""))))</f>
        <v>0</v>
      </c>
      <c r="Z185" s="11">
        <f>IF(Y185="", "", (Y185-TODAY()) * 50 - V185 * 10 - G185 * 5 + IF(W185="Red", -20, IF(W185="Yellow", -10, 0)) - IFERROR(INDEX(Analytics!$F$5:$F$20, MATCH(C185, Analytics!$A$5:$A$20, 0)) * 5, 0) + MOD(A185, 7))</f>
        <v>0</v>
      </c>
    </row>
    <row r="186" spans="1:26">
      <c r="A186" s="11">
        <v>185</v>
      </c>
      <c r="B186" s="4" t="s">
        <v>546</v>
      </c>
      <c r="C186" s="12" t="s">
        <v>48</v>
      </c>
      <c r="D186" s="12" t="s">
        <v>48</v>
      </c>
      <c r="E186" s="12" t="s">
        <v>34</v>
      </c>
      <c r="F186" s="11">
        <v>20</v>
      </c>
      <c r="G186" s="11">
        <v>8</v>
      </c>
      <c r="H186" s="12" t="s">
        <v>150</v>
      </c>
      <c r="I186" s="12" t="s">
        <v>150</v>
      </c>
      <c r="J186" s="4" t="s">
        <v>171</v>
      </c>
      <c r="K186" s="4" t="s">
        <v>174</v>
      </c>
      <c r="L186" s="12" t="s">
        <v>175</v>
      </c>
      <c r="M186" s="12" t="s">
        <v>176</v>
      </c>
      <c r="N186" s="4" t="s">
        <v>348</v>
      </c>
      <c r="O186" s="9" t="s">
        <v>304</v>
      </c>
      <c r="P186" s="9" t="s">
        <v>305</v>
      </c>
      <c r="Q186" s="9" t="s">
        <v>306</v>
      </c>
      <c r="R186" s="9" t="s">
        <v>307</v>
      </c>
      <c r="Y186" s="10">
        <f>IF(S186="", "", IF(W186="Green", S186+30, IF(W186="Yellow", S186+7, IF(W186="Red", S186+2, ""))))</f>
        <v>0</v>
      </c>
      <c r="Z186" s="11">
        <f>IF(Y186="", "", (Y186-TODAY()) * 50 - V186 * 10 - G186 * 5 + IF(W186="Red", -20, IF(W186="Yellow", -10, 0)) - IFERROR(INDEX(Analytics!$F$5:$F$20, MATCH(C186, Analytics!$A$5:$A$20, 0)) * 5, 0) + MOD(A186, 7))</f>
        <v>0</v>
      </c>
    </row>
    <row r="187" spans="1:26">
      <c r="A187" s="11">
        <v>186</v>
      </c>
      <c r="B187" s="4" t="s">
        <v>547</v>
      </c>
      <c r="C187" s="12" t="s">
        <v>48</v>
      </c>
      <c r="D187" s="12" t="s">
        <v>48</v>
      </c>
      <c r="E187" s="12" t="s">
        <v>34</v>
      </c>
      <c r="F187" s="11">
        <v>20</v>
      </c>
      <c r="G187" s="11">
        <v>8</v>
      </c>
      <c r="H187" s="12" t="s">
        <v>150</v>
      </c>
      <c r="I187" s="12" t="s">
        <v>150</v>
      </c>
      <c r="J187" s="4" t="s">
        <v>171</v>
      </c>
      <c r="K187" s="4" t="s">
        <v>174</v>
      </c>
      <c r="L187" s="12" t="s">
        <v>175</v>
      </c>
      <c r="M187" s="12" t="s">
        <v>176</v>
      </c>
      <c r="N187" s="4" t="s">
        <v>350</v>
      </c>
      <c r="O187" s="9" t="s">
        <v>304</v>
      </c>
      <c r="P187" s="9" t="s">
        <v>305</v>
      </c>
      <c r="Q187" s="9" t="s">
        <v>306</v>
      </c>
      <c r="R187" s="9" t="s">
        <v>307</v>
      </c>
      <c r="Y187" s="10">
        <f>IF(S187="", "", IF(W187="Green", S187+30, IF(W187="Yellow", S187+7, IF(W187="Red", S187+2, ""))))</f>
        <v>0</v>
      </c>
      <c r="Z187" s="11">
        <f>IF(Y187="", "", (Y187-TODAY()) * 50 - V187 * 10 - G187 * 5 + IF(W187="Red", -20, IF(W187="Yellow", -10, 0)) - IFERROR(INDEX(Analytics!$F$5:$F$20, MATCH(C187, Analytics!$A$5:$A$20, 0)) * 5, 0) + MOD(A187, 7))</f>
        <v>0</v>
      </c>
    </row>
    <row r="188" spans="1:26">
      <c r="A188" s="11">
        <v>187</v>
      </c>
      <c r="B188" s="4" t="s">
        <v>548</v>
      </c>
      <c r="C188" s="12" t="s">
        <v>48</v>
      </c>
      <c r="D188" s="12" t="s">
        <v>48</v>
      </c>
      <c r="E188" s="12" t="s">
        <v>34</v>
      </c>
      <c r="F188" s="11">
        <v>20</v>
      </c>
      <c r="G188" s="11">
        <v>8</v>
      </c>
      <c r="H188" s="12" t="s">
        <v>317</v>
      </c>
      <c r="I188" s="12" t="s">
        <v>150</v>
      </c>
      <c r="J188" s="4" t="s">
        <v>171</v>
      </c>
      <c r="K188" s="4" t="s">
        <v>174</v>
      </c>
      <c r="L188" s="12" t="s">
        <v>175</v>
      </c>
      <c r="M188" s="12" t="s">
        <v>176</v>
      </c>
      <c r="N188" s="4" t="s">
        <v>354</v>
      </c>
      <c r="O188" s="9" t="s">
        <v>304</v>
      </c>
      <c r="P188" s="9" t="s">
        <v>305</v>
      </c>
      <c r="Q188" s="9" t="s">
        <v>306</v>
      </c>
      <c r="R188" s="9" t="s">
        <v>307</v>
      </c>
      <c r="Y188" s="10">
        <f>IF(S188="", "", IF(W188="Green", S188+30, IF(W188="Yellow", S188+7, IF(W188="Red", S188+2, ""))))</f>
        <v>0</v>
      </c>
      <c r="Z188" s="11">
        <f>IF(Y188="", "", (Y188-TODAY()) * 50 - V188 * 10 - G188 * 5 + IF(W188="Red", -20, IF(W188="Yellow", -10, 0)) - IFERROR(INDEX(Analytics!$F$5:$F$20, MATCH(C188, Analytics!$A$5:$A$20, 0)) * 5, 0) + MOD(A188, 7))</f>
        <v>0</v>
      </c>
    </row>
    <row r="189" spans="1:26">
      <c r="A189" s="11">
        <v>188</v>
      </c>
      <c r="B189" s="4" t="s">
        <v>549</v>
      </c>
      <c r="C189" s="12" t="s">
        <v>48</v>
      </c>
      <c r="D189" s="12" t="s">
        <v>48</v>
      </c>
      <c r="E189" s="12" t="s">
        <v>35</v>
      </c>
      <c r="F189" s="11">
        <v>40</v>
      </c>
      <c r="G189" s="11">
        <v>8</v>
      </c>
      <c r="H189" s="12" t="s">
        <v>150</v>
      </c>
      <c r="I189" s="12" t="s">
        <v>150</v>
      </c>
      <c r="J189" s="4" t="s">
        <v>171</v>
      </c>
      <c r="K189" s="4" t="s">
        <v>174</v>
      </c>
      <c r="L189" s="12" t="s">
        <v>175</v>
      </c>
      <c r="M189" s="12" t="s">
        <v>176</v>
      </c>
      <c r="N189" s="4" t="s">
        <v>436</v>
      </c>
      <c r="O189" s="9" t="s">
        <v>304</v>
      </c>
      <c r="P189" s="9" t="s">
        <v>305</v>
      </c>
      <c r="Q189" s="9" t="s">
        <v>306</v>
      </c>
      <c r="R189" s="9" t="s">
        <v>307</v>
      </c>
      <c r="Y189" s="10">
        <f>IF(S189="", "", IF(W189="Green", S189+30, IF(W189="Yellow", S189+7, IF(W189="Red", S189+2, ""))))</f>
        <v>0</v>
      </c>
      <c r="Z189" s="11">
        <f>IF(Y189="", "", (Y189-TODAY()) * 50 - V189 * 10 - G189 * 5 + IF(W189="Red", -20, IF(W189="Yellow", -10, 0)) - IFERROR(INDEX(Analytics!$F$5:$F$20, MATCH(C189, Analytics!$A$5:$A$20, 0)) * 5, 0) + MOD(A189, 7))</f>
        <v>0</v>
      </c>
    </row>
    <row r="190" spans="1:26">
      <c r="A190" s="11">
        <v>189</v>
      </c>
      <c r="B190" s="4" t="s">
        <v>550</v>
      </c>
      <c r="C190" s="12" t="s">
        <v>48</v>
      </c>
      <c r="D190" s="12" t="s">
        <v>48</v>
      </c>
      <c r="E190" s="12" t="s">
        <v>35</v>
      </c>
      <c r="F190" s="11">
        <v>40</v>
      </c>
      <c r="G190" s="11">
        <v>9</v>
      </c>
      <c r="H190" s="12" t="s">
        <v>117</v>
      </c>
      <c r="I190" s="12" t="s">
        <v>117</v>
      </c>
      <c r="J190" s="4" t="s">
        <v>171</v>
      </c>
      <c r="K190" s="4" t="s">
        <v>174</v>
      </c>
      <c r="L190" s="12" t="s">
        <v>175</v>
      </c>
      <c r="M190" s="12" t="s">
        <v>176</v>
      </c>
      <c r="N190" s="4" t="s">
        <v>336</v>
      </c>
      <c r="O190" s="9" t="s">
        <v>304</v>
      </c>
      <c r="P190" s="9" t="s">
        <v>305</v>
      </c>
      <c r="Q190" s="9" t="s">
        <v>306</v>
      </c>
      <c r="R190" s="9" t="s">
        <v>307</v>
      </c>
      <c r="Y190" s="10">
        <f>IF(S190="", "", IF(W190="Green", S190+30, IF(W190="Yellow", S190+7, IF(W190="Red", S190+2, ""))))</f>
        <v>0</v>
      </c>
      <c r="Z190" s="11">
        <f>IF(Y190="", "", (Y190-TODAY()) * 50 - V190 * 10 - G190 * 5 + IF(W190="Red", -20, IF(W190="Yellow", -10, 0)) - IFERROR(INDEX(Analytics!$F$5:$F$20, MATCH(C190, Analytics!$A$5:$A$20, 0)) * 5, 0) + MOD(A190, 7))</f>
        <v>0</v>
      </c>
    </row>
    <row r="191" spans="1:26">
      <c r="A191" s="11">
        <v>190</v>
      </c>
      <c r="B191" s="4" t="s">
        <v>551</v>
      </c>
      <c r="C191" s="12" t="s">
        <v>48</v>
      </c>
      <c r="D191" s="12" t="s">
        <v>48</v>
      </c>
      <c r="E191" s="12" t="s">
        <v>35</v>
      </c>
      <c r="F191" s="11">
        <v>40</v>
      </c>
      <c r="G191" s="11">
        <v>9</v>
      </c>
      <c r="H191" s="12" t="s">
        <v>117</v>
      </c>
      <c r="I191" s="12" t="s">
        <v>117</v>
      </c>
      <c r="J191" s="4" t="s">
        <v>171</v>
      </c>
      <c r="K191" s="4" t="s">
        <v>174</v>
      </c>
      <c r="L191" s="12" t="s">
        <v>175</v>
      </c>
      <c r="M191" s="12" t="s">
        <v>176</v>
      </c>
      <c r="N191" s="4" t="s">
        <v>336</v>
      </c>
      <c r="O191" s="9" t="s">
        <v>304</v>
      </c>
      <c r="P191" s="9" t="s">
        <v>305</v>
      </c>
      <c r="Q191" s="9" t="s">
        <v>306</v>
      </c>
      <c r="R191" s="9" t="s">
        <v>307</v>
      </c>
      <c r="Y191" s="10">
        <f>IF(S191="", "", IF(W191="Green", S191+30, IF(W191="Yellow", S191+7, IF(W191="Red", S191+2, ""))))</f>
        <v>0</v>
      </c>
      <c r="Z191" s="11">
        <f>IF(Y191="", "", (Y191-TODAY()) * 50 - V191 * 10 - G191 * 5 + IF(W191="Red", -20, IF(W191="Yellow", -10, 0)) - IFERROR(INDEX(Analytics!$F$5:$F$20, MATCH(C191, Analytics!$A$5:$A$20, 0)) * 5, 0) + MOD(A191, 7))</f>
        <v>0</v>
      </c>
    </row>
    <row r="192" spans="1:26">
      <c r="A192" s="11">
        <v>191</v>
      </c>
      <c r="B192" s="4" t="s">
        <v>552</v>
      </c>
      <c r="C192" s="12" t="s">
        <v>48</v>
      </c>
      <c r="D192" s="12" t="s">
        <v>48</v>
      </c>
      <c r="E192" s="12" t="s">
        <v>36</v>
      </c>
      <c r="F192" s="11">
        <v>60</v>
      </c>
      <c r="G192" s="11">
        <v>9</v>
      </c>
      <c r="H192" s="12" t="s">
        <v>150</v>
      </c>
      <c r="I192" s="12" t="s">
        <v>117</v>
      </c>
      <c r="J192" s="4" t="s">
        <v>171</v>
      </c>
      <c r="K192" s="4" t="s">
        <v>174</v>
      </c>
      <c r="L192" s="12" t="s">
        <v>175</v>
      </c>
      <c r="M192" s="12" t="s">
        <v>176</v>
      </c>
      <c r="N192" s="4" t="s">
        <v>73</v>
      </c>
      <c r="O192" s="9" t="s">
        <v>304</v>
      </c>
      <c r="P192" s="9" t="s">
        <v>305</v>
      </c>
      <c r="Q192" s="9" t="s">
        <v>306</v>
      </c>
      <c r="R192" s="9" t="s">
        <v>307</v>
      </c>
      <c r="Y192" s="10">
        <f>IF(S192="", "", IF(W192="Green", S192+30, IF(W192="Yellow", S192+7, IF(W192="Red", S192+2, ""))))</f>
        <v>0</v>
      </c>
      <c r="Z192" s="11">
        <f>IF(Y192="", "", (Y192-TODAY()) * 50 - V192 * 10 - G192 * 5 + IF(W192="Red", -20, IF(W192="Yellow", -10, 0)) - IFERROR(INDEX(Analytics!$F$5:$F$20, MATCH(C192, Analytics!$A$5:$A$20, 0)) * 5, 0) + MOD(A192, 7))</f>
        <v>0</v>
      </c>
    </row>
    <row r="193" spans="1:26">
      <c r="A193" s="11">
        <v>192</v>
      </c>
      <c r="B193" s="4" t="s">
        <v>553</v>
      </c>
      <c r="C193" s="12" t="s">
        <v>48</v>
      </c>
      <c r="D193" s="12" t="s">
        <v>51</v>
      </c>
      <c r="E193" s="12" t="s">
        <v>35</v>
      </c>
      <c r="F193" s="11">
        <v>40</v>
      </c>
      <c r="G193" s="11">
        <v>8</v>
      </c>
      <c r="H193" s="12" t="s">
        <v>150</v>
      </c>
      <c r="I193" s="12" t="s">
        <v>150</v>
      </c>
      <c r="J193" s="4" t="s">
        <v>179</v>
      </c>
      <c r="K193" s="4" t="s">
        <v>182</v>
      </c>
      <c r="L193" s="12" t="s">
        <v>183</v>
      </c>
      <c r="M193" s="12" t="s">
        <v>131</v>
      </c>
      <c r="N193" s="4" t="s">
        <v>362</v>
      </c>
      <c r="O193" s="9" t="s">
        <v>304</v>
      </c>
      <c r="P193" s="9" t="s">
        <v>305</v>
      </c>
      <c r="Q193" s="9" t="s">
        <v>306</v>
      </c>
      <c r="R193" s="9" t="s">
        <v>307</v>
      </c>
      <c r="Y193" s="10">
        <f>IF(S193="", "", IF(W193="Green", S193+30, IF(W193="Yellow", S193+7, IF(W193="Red", S193+2, ""))))</f>
        <v>0</v>
      </c>
      <c r="Z193" s="11">
        <f>IF(Y193="", "", (Y193-TODAY()) * 50 - V193 * 10 - G193 * 5 + IF(W193="Red", -20, IF(W193="Yellow", -10, 0)) - IFERROR(INDEX(Analytics!$F$5:$F$20, MATCH(C193, Analytics!$A$5:$A$20, 0)) * 5, 0) + MOD(A193, 7))</f>
        <v>0</v>
      </c>
    </row>
    <row r="194" spans="1:26">
      <c r="A194" s="11">
        <v>193</v>
      </c>
      <c r="B194" s="4" t="s">
        <v>554</v>
      </c>
      <c r="C194" s="12" t="s">
        <v>48</v>
      </c>
      <c r="D194" s="12" t="s">
        <v>51</v>
      </c>
      <c r="E194" s="12" t="s">
        <v>35</v>
      </c>
      <c r="F194" s="11">
        <v>40</v>
      </c>
      <c r="G194" s="11">
        <v>9</v>
      </c>
      <c r="H194" s="12" t="s">
        <v>117</v>
      </c>
      <c r="I194" s="12" t="s">
        <v>117</v>
      </c>
      <c r="J194" s="4" t="s">
        <v>179</v>
      </c>
      <c r="K194" s="4" t="s">
        <v>182</v>
      </c>
      <c r="L194" s="12" t="s">
        <v>183</v>
      </c>
      <c r="M194" s="12" t="s">
        <v>131</v>
      </c>
      <c r="N194" s="4" t="s">
        <v>352</v>
      </c>
      <c r="O194" s="9" t="s">
        <v>304</v>
      </c>
      <c r="P194" s="9" t="s">
        <v>305</v>
      </c>
      <c r="Q194" s="9" t="s">
        <v>306</v>
      </c>
      <c r="R194" s="9" t="s">
        <v>307</v>
      </c>
      <c r="Y194" s="10">
        <f>IF(S194="", "", IF(W194="Green", S194+30, IF(W194="Yellow", S194+7, IF(W194="Red", S194+2, ""))))</f>
        <v>0</v>
      </c>
      <c r="Z194" s="11">
        <f>IF(Y194="", "", (Y194-TODAY()) * 50 - V194 * 10 - G194 * 5 + IF(W194="Red", -20, IF(W194="Yellow", -10, 0)) - IFERROR(INDEX(Analytics!$F$5:$F$20, MATCH(C194, Analytics!$A$5:$A$20, 0)) * 5, 0) + MOD(A194, 7))</f>
        <v>0</v>
      </c>
    </row>
    <row r="195" spans="1:26">
      <c r="A195" s="11">
        <v>194</v>
      </c>
      <c r="B195" s="4" t="s">
        <v>555</v>
      </c>
      <c r="C195" s="12" t="s">
        <v>48</v>
      </c>
      <c r="D195" s="12" t="s">
        <v>51</v>
      </c>
      <c r="E195" s="12" t="s">
        <v>35</v>
      </c>
      <c r="F195" s="11">
        <v>40</v>
      </c>
      <c r="G195" s="11">
        <v>8</v>
      </c>
      <c r="H195" s="12" t="s">
        <v>150</v>
      </c>
      <c r="I195" s="12" t="s">
        <v>150</v>
      </c>
      <c r="J195" s="4" t="s">
        <v>179</v>
      </c>
      <c r="K195" s="4" t="s">
        <v>182</v>
      </c>
      <c r="L195" s="12" t="s">
        <v>183</v>
      </c>
      <c r="M195" s="12" t="s">
        <v>131</v>
      </c>
      <c r="N195" s="4" t="s">
        <v>324</v>
      </c>
      <c r="O195" s="9" t="s">
        <v>304</v>
      </c>
      <c r="P195" s="9" t="s">
        <v>305</v>
      </c>
      <c r="Q195" s="9" t="s">
        <v>306</v>
      </c>
      <c r="R195" s="9" t="s">
        <v>307</v>
      </c>
      <c r="Y195" s="10">
        <f>IF(S195="", "", IF(W195="Green", S195+30, IF(W195="Yellow", S195+7, IF(W195="Red", S195+2, ""))))</f>
        <v>0</v>
      </c>
      <c r="Z195" s="11">
        <f>IF(Y195="", "", (Y195-TODAY()) * 50 - V195 * 10 - G195 * 5 + IF(W195="Red", -20, IF(W195="Yellow", -10, 0)) - IFERROR(INDEX(Analytics!$F$5:$F$20, MATCH(C195, Analytics!$A$5:$A$20, 0)) * 5, 0) + MOD(A195, 7))</f>
        <v>0</v>
      </c>
    </row>
    <row r="196" spans="1:26">
      <c r="A196" s="11">
        <v>195</v>
      </c>
      <c r="B196" s="4" t="s">
        <v>556</v>
      </c>
      <c r="C196" s="12" t="s">
        <v>48</v>
      </c>
      <c r="D196" s="12" t="s">
        <v>51</v>
      </c>
      <c r="E196" s="12" t="s">
        <v>35</v>
      </c>
      <c r="F196" s="11">
        <v>40</v>
      </c>
      <c r="G196" s="11">
        <v>8</v>
      </c>
      <c r="H196" s="12" t="s">
        <v>317</v>
      </c>
      <c r="I196" s="12" t="s">
        <v>150</v>
      </c>
      <c r="J196" s="4" t="s">
        <v>179</v>
      </c>
      <c r="K196" s="4" t="s">
        <v>182</v>
      </c>
      <c r="L196" s="12" t="s">
        <v>183</v>
      </c>
      <c r="M196" s="12" t="s">
        <v>131</v>
      </c>
      <c r="N196" s="4" t="s">
        <v>386</v>
      </c>
      <c r="O196" s="9" t="s">
        <v>304</v>
      </c>
      <c r="P196" s="9" t="s">
        <v>305</v>
      </c>
      <c r="Q196" s="9" t="s">
        <v>306</v>
      </c>
      <c r="R196" s="9" t="s">
        <v>307</v>
      </c>
      <c r="Y196" s="10">
        <f>IF(S196="", "", IF(W196="Green", S196+30, IF(W196="Yellow", S196+7, IF(W196="Red", S196+2, ""))))</f>
        <v>0</v>
      </c>
      <c r="Z196" s="11">
        <f>IF(Y196="", "", (Y196-TODAY()) * 50 - V196 * 10 - G196 * 5 + IF(W196="Red", -20, IF(W196="Yellow", -10, 0)) - IFERROR(INDEX(Analytics!$F$5:$F$20, MATCH(C196, Analytics!$A$5:$A$20, 0)) * 5, 0) + MOD(A196, 7))</f>
        <v>0</v>
      </c>
    </row>
    <row r="197" spans="1:26">
      <c r="A197" s="11">
        <v>196</v>
      </c>
      <c r="B197" s="4" t="s">
        <v>557</v>
      </c>
      <c r="C197" s="12" t="s">
        <v>48</v>
      </c>
      <c r="D197" s="12" t="s">
        <v>48</v>
      </c>
      <c r="E197" s="12" t="s">
        <v>36</v>
      </c>
      <c r="F197" s="11">
        <v>60</v>
      </c>
      <c r="G197" s="11">
        <v>8</v>
      </c>
      <c r="H197" s="12" t="s">
        <v>317</v>
      </c>
      <c r="I197" s="12" t="s">
        <v>150</v>
      </c>
      <c r="J197" s="4" t="s">
        <v>171</v>
      </c>
      <c r="K197" s="4" t="s">
        <v>174</v>
      </c>
      <c r="L197" s="12" t="s">
        <v>175</v>
      </c>
      <c r="M197" s="12" t="s">
        <v>176</v>
      </c>
      <c r="N197" s="4" t="s">
        <v>336</v>
      </c>
      <c r="O197" s="9" t="s">
        <v>304</v>
      </c>
      <c r="P197" s="9" t="s">
        <v>305</v>
      </c>
      <c r="Q197" s="9" t="s">
        <v>306</v>
      </c>
      <c r="R197" s="9" t="s">
        <v>307</v>
      </c>
      <c r="Y197" s="10">
        <f>IF(S197="", "", IF(W197="Green", S197+30, IF(W197="Yellow", S197+7, IF(W197="Red", S197+2, ""))))</f>
        <v>0</v>
      </c>
      <c r="Z197" s="11">
        <f>IF(Y197="", "", (Y197-TODAY()) * 50 - V197 * 10 - G197 * 5 + IF(W197="Red", -20, IF(W197="Yellow", -10, 0)) - IFERROR(INDEX(Analytics!$F$5:$F$20, MATCH(C197, Analytics!$A$5:$A$20, 0)) * 5, 0) + MOD(A197, 7))</f>
        <v>0</v>
      </c>
    </row>
    <row r="198" spans="1:26">
      <c r="A198" s="11">
        <v>197</v>
      </c>
      <c r="B198" s="4" t="s">
        <v>558</v>
      </c>
      <c r="C198" s="12" t="s">
        <v>48</v>
      </c>
      <c r="D198" s="12" t="s">
        <v>63</v>
      </c>
      <c r="E198" s="12" t="s">
        <v>34</v>
      </c>
      <c r="F198" s="11">
        <v>20</v>
      </c>
      <c r="G198" s="11">
        <v>8</v>
      </c>
      <c r="H198" s="12" t="s">
        <v>317</v>
      </c>
      <c r="I198" s="12" t="s">
        <v>150</v>
      </c>
      <c r="J198" s="4" t="s">
        <v>136</v>
      </c>
      <c r="K198" s="4" t="s">
        <v>139</v>
      </c>
      <c r="L198" s="12" t="s">
        <v>131</v>
      </c>
      <c r="M198" s="12" t="s">
        <v>140</v>
      </c>
      <c r="N198" s="4" t="s">
        <v>75</v>
      </c>
      <c r="O198" s="9" t="s">
        <v>304</v>
      </c>
      <c r="P198" s="9" t="s">
        <v>305</v>
      </c>
      <c r="Q198" s="9" t="s">
        <v>306</v>
      </c>
      <c r="R198" s="9" t="s">
        <v>307</v>
      </c>
      <c r="Y198" s="10">
        <f>IF(S198="", "", IF(W198="Green", S198+30, IF(W198="Yellow", S198+7, IF(W198="Red", S198+2, ""))))</f>
        <v>0</v>
      </c>
      <c r="Z198" s="11">
        <f>IF(Y198="", "", (Y198-TODAY()) * 50 - V198 * 10 - G198 * 5 + IF(W198="Red", -20, IF(W198="Yellow", -10, 0)) - IFERROR(INDEX(Analytics!$F$5:$F$20, MATCH(C198, Analytics!$A$5:$A$20, 0)) * 5, 0) + MOD(A198, 7))</f>
        <v>0</v>
      </c>
    </row>
    <row r="199" spans="1:26">
      <c r="A199" s="11">
        <v>198</v>
      </c>
      <c r="B199" s="4" t="s">
        <v>559</v>
      </c>
      <c r="C199" s="12" t="s">
        <v>48</v>
      </c>
      <c r="D199" s="12" t="s">
        <v>51</v>
      </c>
      <c r="E199" s="12" t="s">
        <v>35</v>
      </c>
      <c r="F199" s="11">
        <v>40</v>
      </c>
      <c r="G199" s="11">
        <v>8</v>
      </c>
      <c r="H199" s="12" t="s">
        <v>150</v>
      </c>
      <c r="I199" s="12" t="s">
        <v>150</v>
      </c>
      <c r="J199" s="4" t="s">
        <v>179</v>
      </c>
      <c r="K199" s="4" t="s">
        <v>182</v>
      </c>
      <c r="L199" s="12" t="s">
        <v>183</v>
      </c>
      <c r="M199" s="12" t="s">
        <v>131</v>
      </c>
      <c r="N199" s="4" t="s">
        <v>324</v>
      </c>
      <c r="O199" s="9" t="s">
        <v>304</v>
      </c>
      <c r="P199" s="9" t="s">
        <v>305</v>
      </c>
      <c r="Q199" s="9" t="s">
        <v>306</v>
      </c>
      <c r="R199" s="9" t="s">
        <v>307</v>
      </c>
      <c r="Y199" s="10">
        <f>IF(S199="", "", IF(W199="Green", S199+30, IF(W199="Yellow", S199+7, IF(W199="Red", S199+2, ""))))</f>
        <v>0</v>
      </c>
      <c r="Z199" s="11">
        <f>IF(Y199="", "", (Y199-TODAY()) * 50 - V199 * 10 - G199 * 5 + IF(W199="Red", -20, IF(W199="Yellow", -10, 0)) - IFERROR(INDEX(Analytics!$F$5:$F$20, MATCH(C199, Analytics!$A$5:$A$20, 0)) * 5, 0) + MOD(A199, 7))</f>
        <v>0</v>
      </c>
    </row>
    <row r="200" spans="1:26">
      <c r="A200" s="11">
        <v>199</v>
      </c>
      <c r="B200" s="4" t="s">
        <v>560</v>
      </c>
      <c r="C200" s="12" t="s">
        <v>93</v>
      </c>
      <c r="D200" s="12" t="s">
        <v>61</v>
      </c>
      <c r="E200" s="12" t="s">
        <v>34</v>
      </c>
      <c r="F200" s="11">
        <v>20</v>
      </c>
      <c r="G200" s="11">
        <v>10</v>
      </c>
      <c r="H200" s="12" t="s">
        <v>117</v>
      </c>
      <c r="I200" s="12" t="s">
        <v>117</v>
      </c>
      <c r="J200" s="4" t="s">
        <v>205</v>
      </c>
      <c r="K200" s="4" t="s">
        <v>208</v>
      </c>
      <c r="L200" s="12" t="s">
        <v>131</v>
      </c>
      <c r="M200" s="12" t="s">
        <v>209</v>
      </c>
      <c r="N200" s="4" t="s">
        <v>421</v>
      </c>
      <c r="O200" s="9" t="s">
        <v>304</v>
      </c>
      <c r="P200" s="9" t="s">
        <v>305</v>
      </c>
      <c r="Q200" s="9" t="s">
        <v>306</v>
      </c>
      <c r="R200" s="9" t="s">
        <v>307</v>
      </c>
      <c r="Y200" s="10">
        <f>IF(S200="", "", IF(W200="Green", S200+30, IF(W200="Yellow", S200+7, IF(W200="Red", S200+2, ""))))</f>
        <v>0</v>
      </c>
      <c r="Z200" s="11">
        <f>IF(Y200="", "", (Y200-TODAY()) * 50 - V200 * 10 - G200 * 5 + IF(W200="Red", -20, IF(W200="Yellow", -10, 0)) - IFERROR(INDEX(Analytics!$F$5:$F$20, MATCH(C200, Analytics!$A$5:$A$20, 0)) * 5, 0) + MOD(A200, 7))</f>
        <v>0</v>
      </c>
    </row>
    <row r="201" spans="1:26">
      <c r="A201" s="11">
        <v>200</v>
      </c>
      <c r="B201" s="4" t="s">
        <v>561</v>
      </c>
      <c r="C201" s="12" t="s">
        <v>93</v>
      </c>
      <c r="D201" s="12" t="s">
        <v>61</v>
      </c>
      <c r="E201" s="12" t="s">
        <v>34</v>
      </c>
      <c r="F201" s="11">
        <v>20</v>
      </c>
      <c r="G201" s="11">
        <v>9</v>
      </c>
      <c r="H201" s="12" t="s">
        <v>117</v>
      </c>
      <c r="I201" s="12" t="s">
        <v>117</v>
      </c>
      <c r="J201" s="4" t="s">
        <v>205</v>
      </c>
      <c r="K201" s="4" t="s">
        <v>208</v>
      </c>
      <c r="L201" s="12" t="s">
        <v>131</v>
      </c>
      <c r="M201" s="12" t="s">
        <v>209</v>
      </c>
      <c r="N201" s="4" t="s">
        <v>423</v>
      </c>
      <c r="O201" s="9" t="s">
        <v>304</v>
      </c>
      <c r="P201" s="9" t="s">
        <v>305</v>
      </c>
      <c r="Q201" s="9" t="s">
        <v>306</v>
      </c>
      <c r="R201" s="9" t="s">
        <v>307</v>
      </c>
      <c r="Y201" s="10">
        <f>IF(S201="", "", IF(W201="Green", S201+30, IF(W201="Yellow", S201+7, IF(W201="Red", S201+2, ""))))</f>
        <v>0</v>
      </c>
      <c r="Z201" s="11">
        <f>IF(Y201="", "", (Y201-TODAY()) * 50 - V201 * 10 - G201 * 5 + IF(W201="Red", -20, IF(W201="Yellow", -10, 0)) - IFERROR(INDEX(Analytics!$F$5:$F$20, MATCH(C201, Analytics!$A$5:$A$20, 0)) * 5, 0) + MOD(A201, 7))</f>
        <v>0</v>
      </c>
    </row>
    <row r="202" spans="1:26">
      <c r="A202" s="11">
        <v>201</v>
      </c>
      <c r="B202" s="4" t="s">
        <v>562</v>
      </c>
      <c r="C202" s="12" t="s">
        <v>93</v>
      </c>
      <c r="D202" s="12" t="s">
        <v>61</v>
      </c>
      <c r="E202" s="12" t="s">
        <v>34</v>
      </c>
      <c r="F202" s="11">
        <v>20</v>
      </c>
      <c r="G202" s="11">
        <v>9</v>
      </c>
      <c r="H202" s="12" t="s">
        <v>117</v>
      </c>
      <c r="I202" s="12" t="s">
        <v>117</v>
      </c>
      <c r="J202" s="4" t="s">
        <v>205</v>
      </c>
      <c r="K202" s="4" t="s">
        <v>208</v>
      </c>
      <c r="L202" s="12" t="s">
        <v>131</v>
      </c>
      <c r="M202" s="12" t="s">
        <v>209</v>
      </c>
      <c r="N202" s="4" t="s">
        <v>477</v>
      </c>
      <c r="O202" s="9" t="s">
        <v>304</v>
      </c>
      <c r="P202" s="9" t="s">
        <v>305</v>
      </c>
      <c r="Q202" s="9" t="s">
        <v>306</v>
      </c>
      <c r="R202" s="9" t="s">
        <v>307</v>
      </c>
      <c r="Y202" s="10">
        <f>IF(S202="", "", IF(W202="Green", S202+30, IF(W202="Yellow", S202+7, IF(W202="Red", S202+2, ""))))</f>
        <v>0</v>
      </c>
      <c r="Z202" s="11">
        <f>IF(Y202="", "", (Y202-TODAY()) * 50 - V202 * 10 - G202 * 5 + IF(W202="Red", -20, IF(W202="Yellow", -10, 0)) - IFERROR(INDEX(Analytics!$F$5:$F$20, MATCH(C202, Analytics!$A$5:$A$20, 0)) * 5, 0) + MOD(A202, 7))</f>
        <v>0</v>
      </c>
    </row>
    <row r="203" spans="1:26">
      <c r="A203" s="11">
        <v>202</v>
      </c>
      <c r="B203" s="4" t="s">
        <v>563</v>
      </c>
      <c r="C203" s="12" t="s">
        <v>93</v>
      </c>
      <c r="D203" s="12" t="s">
        <v>40</v>
      </c>
      <c r="E203" s="12" t="s">
        <v>35</v>
      </c>
      <c r="F203" s="11">
        <v>40</v>
      </c>
      <c r="G203" s="11">
        <v>10</v>
      </c>
      <c r="H203" s="12" t="s">
        <v>117</v>
      </c>
      <c r="I203" s="12" t="s">
        <v>117</v>
      </c>
      <c r="J203" s="4" t="s">
        <v>236</v>
      </c>
      <c r="K203" s="4" t="s">
        <v>239</v>
      </c>
      <c r="L203" s="12" t="s">
        <v>232</v>
      </c>
      <c r="M203" s="12" t="s">
        <v>240</v>
      </c>
      <c r="N203" s="4" t="s">
        <v>404</v>
      </c>
      <c r="O203" s="9" t="s">
        <v>304</v>
      </c>
      <c r="P203" s="9" t="s">
        <v>305</v>
      </c>
      <c r="Q203" s="9" t="s">
        <v>306</v>
      </c>
      <c r="R203" s="9" t="s">
        <v>307</v>
      </c>
      <c r="Y203" s="10">
        <f>IF(S203="", "", IF(W203="Green", S203+30, IF(W203="Yellow", S203+7, IF(W203="Red", S203+2, ""))))</f>
        <v>0</v>
      </c>
      <c r="Z203" s="11">
        <f>IF(Y203="", "", (Y203-TODAY()) * 50 - V203 * 10 - G203 * 5 + IF(W203="Red", -20, IF(W203="Yellow", -10, 0)) - IFERROR(INDEX(Analytics!$F$5:$F$20, MATCH(C203, Analytics!$A$5:$A$20, 0)) * 5, 0) + MOD(A203, 7))</f>
        <v>0</v>
      </c>
    </row>
    <row r="204" spans="1:26">
      <c r="A204" s="11">
        <v>203</v>
      </c>
      <c r="B204" s="4" t="s">
        <v>564</v>
      </c>
      <c r="C204" s="12" t="s">
        <v>93</v>
      </c>
      <c r="D204" s="12" t="s">
        <v>46</v>
      </c>
      <c r="E204" s="12" t="s">
        <v>34</v>
      </c>
      <c r="F204" s="11">
        <v>20</v>
      </c>
      <c r="G204" s="11">
        <v>10</v>
      </c>
      <c r="H204" s="12" t="s">
        <v>117</v>
      </c>
      <c r="I204" s="12" t="s">
        <v>117</v>
      </c>
      <c r="J204" s="4" t="s">
        <v>228</v>
      </c>
      <c r="K204" s="4" t="s">
        <v>231</v>
      </c>
      <c r="L204" s="12" t="s">
        <v>232</v>
      </c>
      <c r="M204" s="12" t="s">
        <v>233</v>
      </c>
      <c r="N204" s="4" t="s">
        <v>315</v>
      </c>
      <c r="O204" s="9" t="s">
        <v>304</v>
      </c>
      <c r="P204" s="9" t="s">
        <v>305</v>
      </c>
      <c r="Q204" s="9" t="s">
        <v>306</v>
      </c>
      <c r="R204" s="9" t="s">
        <v>307</v>
      </c>
      <c r="Y204" s="10">
        <f>IF(S204="", "", IF(W204="Green", S204+30, IF(W204="Yellow", S204+7, IF(W204="Red", S204+2, ""))))</f>
        <v>0</v>
      </c>
      <c r="Z204" s="11">
        <f>IF(Y204="", "", (Y204-TODAY()) * 50 - V204 * 10 - G204 * 5 + IF(W204="Red", -20, IF(W204="Yellow", -10, 0)) - IFERROR(INDEX(Analytics!$F$5:$F$20, MATCH(C204, Analytics!$A$5:$A$20, 0)) * 5, 0) + MOD(A204, 7))</f>
        <v>0</v>
      </c>
    </row>
    <row r="205" spans="1:26">
      <c r="A205" s="11">
        <v>204</v>
      </c>
      <c r="B205" s="4" t="s">
        <v>565</v>
      </c>
      <c r="C205" s="12" t="s">
        <v>93</v>
      </c>
      <c r="D205" s="12" t="s">
        <v>46</v>
      </c>
      <c r="E205" s="12" t="s">
        <v>34</v>
      </c>
      <c r="F205" s="11">
        <v>20</v>
      </c>
      <c r="G205" s="11">
        <v>10</v>
      </c>
      <c r="H205" s="12" t="s">
        <v>117</v>
      </c>
      <c r="I205" s="12" t="s">
        <v>117</v>
      </c>
      <c r="J205" s="4" t="s">
        <v>228</v>
      </c>
      <c r="K205" s="4" t="s">
        <v>231</v>
      </c>
      <c r="L205" s="12" t="s">
        <v>232</v>
      </c>
      <c r="M205" s="12" t="s">
        <v>233</v>
      </c>
      <c r="N205" s="4" t="s">
        <v>338</v>
      </c>
      <c r="O205" s="9" t="s">
        <v>304</v>
      </c>
      <c r="P205" s="9" t="s">
        <v>305</v>
      </c>
      <c r="Q205" s="9" t="s">
        <v>306</v>
      </c>
      <c r="R205" s="9" t="s">
        <v>307</v>
      </c>
      <c r="Y205" s="10">
        <f>IF(S205="", "", IF(W205="Green", S205+30, IF(W205="Yellow", S205+7, IF(W205="Red", S205+2, ""))))</f>
        <v>0</v>
      </c>
      <c r="Z205" s="11">
        <f>IF(Y205="", "", (Y205-TODAY()) * 50 - V205 * 10 - G205 * 5 + IF(W205="Red", -20, IF(W205="Yellow", -10, 0)) - IFERROR(INDEX(Analytics!$F$5:$F$20, MATCH(C205, Analytics!$A$5:$A$20, 0)) * 5, 0) + MOD(A205, 7))</f>
        <v>0</v>
      </c>
    </row>
    <row r="206" spans="1:26">
      <c r="A206" s="11">
        <v>205</v>
      </c>
      <c r="B206" s="4" t="s">
        <v>566</v>
      </c>
      <c r="C206" s="12" t="s">
        <v>93</v>
      </c>
      <c r="D206" s="12" t="s">
        <v>46</v>
      </c>
      <c r="E206" s="12" t="s">
        <v>34</v>
      </c>
      <c r="F206" s="11">
        <v>20</v>
      </c>
      <c r="G206" s="11">
        <v>9</v>
      </c>
      <c r="H206" s="12" t="s">
        <v>150</v>
      </c>
      <c r="I206" s="12" t="s">
        <v>117</v>
      </c>
      <c r="J206" s="4" t="s">
        <v>228</v>
      </c>
      <c r="K206" s="4" t="s">
        <v>231</v>
      </c>
      <c r="L206" s="12" t="s">
        <v>232</v>
      </c>
      <c r="M206" s="12" t="s">
        <v>233</v>
      </c>
      <c r="N206" s="4" t="s">
        <v>324</v>
      </c>
      <c r="O206" s="9" t="s">
        <v>304</v>
      </c>
      <c r="P206" s="9" t="s">
        <v>305</v>
      </c>
      <c r="Q206" s="9" t="s">
        <v>306</v>
      </c>
      <c r="R206" s="9" t="s">
        <v>307</v>
      </c>
      <c r="Y206" s="10">
        <f>IF(S206="", "", IF(W206="Green", S206+30, IF(W206="Yellow", S206+7, IF(W206="Red", S206+2, ""))))</f>
        <v>0</v>
      </c>
      <c r="Z206" s="11">
        <f>IF(Y206="", "", (Y206-TODAY()) * 50 - V206 * 10 - G206 * 5 + IF(W206="Red", -20, IF(W206="Yellow", -10, 0)) - IFERROR(INDEX(Analytics!$F$5:$F$20, MATCH(C206, Analytics!$A$5:$A$20, 0)) * 5, 0) + MOD(A206, 7))</f>
        <v>0</v>
      </c>
    </row>
    <row r="207" spans="1:26">
      <c r="A207" s="11">
        <v>206</v>
      </c>
      <c r="B207" s="4" t="s">
        <v>567</v>
      </c>
      <c r="C207" s="12" t="s">
        <v>93</v>
      </c>
      <c r="D207" s="12" t="s">
        <v>61</v>
      </c>
      <c r="E207" s="12" t="s">
        <v>35</v>
      </c>
      <c r="F207" s="11">
        <v>40</v>
      </c>
      <c r="G207" s="11">
        <v>10</v>
      </c>
      <c r="H207" s="12" t="s">
        <v>117</v>
      </c>
      <c r="I207" s="12" t="s">
        <v>117</v>
      </c>
      <c r="J207" s="4" t="s">
        <v>205</v>
      </c>
      <c r="K207" s="4" t="s">
        <v>208</v>
      </c>
      <c r="L207" s="12" t="s">
        <v>131</v>
      </c>
      <c r="M207" s="12" t="s">
        <v>209</v>
      </c>
      <c r="N207" s="4" t="s">
        <v>499</v>
      </c>
      <c r="O207" s="9" t="s">
        <v>304</v>
      </c>
      <c r="P207" s="9" t="s">
        <v>305</v>
      </c>
      <c r="Q207" s="9" t="s">
        <v>306</v>
      </c>
      <c r="R207" s="9" t="s">
        <v>307</v>
      </c>
      <c r="Y207" s="10">
        <f>IF(S207="", "", IF(W207="Green", S207+30, IF(W207="Yellow", S207+7, IF(W207="Red", S207+2, ""))))</f>
        <v>0</v>
      </c>
      <c r="Z207" s="11">
        <f>IF(Y207="", "", (Y207-TODAY()) * 50 - V207 * 10 - G207 * 5 + IF(W207="Red", -20, IF(W207="Yellow", -10, 0)) - IFERROR(INDEX(Analytics!$F$5:$F$20, MATCH(C207, Analytics!$A$5:$A$20, 0)) * 5, 0) + MOD(A207, 7))</f>
        <v>0</v>
      </c>
    </row>
    <row r="208" spans="1:26">
      <c r="A208" s="11">
        <v>207</v>
      </c>
      <c r="B208" s="4" t="s">
        <v>568</v>
      </c>
      <c r="C208" s="12" t="s">
        <v>93</v>
      </c>
      <c r="D208" s="12" t="s">
        <v>46</v>
      </c>
      <c r="E208" s="12" t="s">
        <v>34</v>
      </c>
      <c r="F208" s="11">
        <v>20</v>
      </c>
      <c r="G208" s="11">
        <v>9</v>
      </c>
      <c r="H208" s="12" t="s">
        <v>150</v>
      </c>
      <c r="I208" s="12" t="s">
        <v>117</v>
      </c>
      <c r="J208" s="4" t="s">
        <v>228</v>
      </c>
      <c r="K208" s="4" t="s">
        <v>231</v>
      </c>
      <c r="L208" s="12" t="s">
        <v>232</v>
      </c>
      <c r="M208" s="12" t="s">
        <v>233</v>
      </c>
      <c r="N208" s="4" t="s">
        <v>324</v>
      </c>
      <c r="O208" s="9" t="s">
        <v>304</v>
      </c>
      <c r="P208" s="9" t="s">
        <v>305</v>
      </c>
      <c r="Q208" s="9" t="s">
        <v>306</v>
      </c>
      <c r="R208" s="9" t="s">
        <v>307</v>
      </c>
      <c r="Y208" s="10">
        <f>IF(S208="", "", IF(W208="Green", S208+30, IF(W208="Yellow", S208+7, IF(W208="Red", S208+2, ""))))</f>
        <v>0</v>
      </c>
      <c r="Z208" s="11">
        <f>IF(Y208="", "", (Y208-TODAY()) * 50 - V208 * 10 - G208 * 5 + IF(W208="Red", -20, IF(W208="Yellow", -10, 0)) - IFERROR(INDEX(Analytics!$F$5:$F$20, MATCH(C208, Analytics!$A$5:$A$20, 0)) * 5, 0) + MOD(A208, 7))</f>
        <v>0</v>
      </c>
    </row>
    <row r="209" spans="1:26">
      <c r="A209" s="11">
        <v>208</v>
      </c>
      <c r="B209" s="4" t="s">
        <v>569</v>
      </c>
      <c r="C209" s="12" t="s">
        <v>93</v>
      </c>
      <c r="D209" s="12" t="s">
        <v>46</v>
      </c>
      <c r="E209" s="12" t="s">
        <v>34</v>
      </c>
      <c r="F209" s="11">
        <v>20</v>
      </c>
      <c r="G209" s="11">
        <v>9</v>
      </c>
      <c r="H209" s="12" t="s">
        <v>150</v>
      </c>
      <c r="I209" s="12" t="s">
        <v>117</v>
      </c>
      <c r="J209" s="4" t="s">
        <v>228</v>
      </c>
      <c r="K209" s="4" t="s">
        <v>231</v>
      </c>
      <c r="L209" s="12" t="s">
        <v>232</v>
      </c>
      <c r="M209" s="12" t="s">
        <v>233</v>
      </c>
      <c r="N209" s="4" t="s">
        <v>328</v>
      </c>
      <c r="O209" s="9" t="s">
        <v>304</v>
      </c>
      <c r="P209" s="9" t="s">
        <v>305</v>
      </c>
      <c r="Q209" s="9" t="s">
        <v>306</v>
      </c>
      <c r="R209" s="9" t="s">
        <v>307</v>
      </c>
      <c r="Y209" s="10">
        <f>IF(S209="", "", IF(W209="Green", S209+30, IF(W209="Yellow", S209+7, IF(W209="Red", S209+2, ""))))</f>
        <v>0</v>
      </c>
      <c r="Z209" s="11">
        <f>IF(Y209="", "", (Y209-TODAY()) * 50 - V209 * 10 - G209 * 5 + IF(W209="Red", -20, IF(W209="Yellow", -10, 0)) - IFERROR(INDEX(Analytics!$F$5:$F$20, MATCH(C209, Analytics!$A$5:$A$20, 0)) * 5, 0) + MOD(A209, 7))</f>
        <v>0</v>
      </c>
    </row>
    <row r="210" spans="1:26">
      <c r="A210" s="11">
        <v>209</v>
      </c>
      <c r="B210" s="4" t="s">
        <v>570</v>
      </c>
      <c r="C210" s="12" t="s">
        <v>93</v>
      </c>
      <c r="D210" s="12" t="s">
        <v>40</v>
      </c>
      <c r="E210" s="12" t="s">
        <v>35</v>
      </c>
      <c r="F210" s="11">
        <v>40</v>
      </c>
      <c r="G210" s="11">
        <v>9</v>
      </c>
      <c r="H210" s="12" t="s">
        <v>117</v>
      </c>
      <c r="I210" s="12" t="s">
        <v>117</v>
      </c>
      <c r="J210" s="4" t="s">
        <v>236</v>
      </c>
      <c r="K210" s="4" t="s">
        <v>239</v>
      </c>
      <c r="L210" s="12" t="s">
        <v>232</v>
      </c>
      <c r="M210" s="12" t="s">
        <v>240</v>
      </c>
      <c r="N210" s="4" t="s">
        <v>436</v>
      </c>
      <c r="O210" s="9" t="s">
        <v>304</v>
      </c>
      <c r="P210" s="9" t="s">
        <v>305</v>
      </c>
      <c r="Q210" s="9" t="s">
        <v>306</v>
      </c>
      <c r="R210" s="9" t="s">
        <v>307</v>
      </c>
      <c r="Y210" s="10">
        <f>IF(S210="", "", IF(W210="Green", S210+30, IF(W210="Yellow", S210+7, IF(W210="Red", S210+2, ""))))</f>
        <v>0</v>
      </c>
      <c r="Z210" s="11">
        <f>IF(Y210="", "", (Y210-TODAY()) * 50 - V210 * 10 - G210 * 5 + IF(W210="Red", -20, IF(W210="Yellow", -10, 0)) - IFERROR(INDEX(Analytics!$F$5:$F$20, MATCH(C210, Analytics!$A$5:$A$20, 0)) * 5, 0) + MOD(A210, 7))</f>
        <v>0</v>
      </c>
    </row>
    <row r="211" spans="1:26">
      <c r="A211" s="11">
        <v>210</v>
      </c>
      <c r="B211" s="4" t="s">
        <v>571</v>
      </c>
      <c r="C211" s="12" t="s">
        <v>93</v>
      </c>
      <c r="D211" s="12" t="s">
        <v>61</v>
      </c>
      <c r="E211" s="12" t="s">
        <v>35</v>
      </c>
      <c r="F211" s="11">
        <v>40</v>
      </c>
      <c r="G211" s="11">
        <v>9</v>
      </c>
      <c r="H211" s="12" t="s">
        <v>150</v>
      </c>
      <c r="I211" s="12" t="s">
        <v>117</v>
      </c>
      <c r="J211" s="4" t="s">
        <v>205</v>
      </c>
      <c r="K211" s="4" t="s">
        <v>208</v>
      </c>
      <c r="L211" s="12" t="s">
        <v>131</v>
      </c>
      <c r="M211" s="12" t="s">
        <v>209</v>
      </c>
      <c r="N211" s="4" t="s">
        <v>352</v>
      </c>
      <c r="O211" s="9" t="s">
        <v>304</v>
      </c>
      <c r="P211" s="9" t="s">
        <v>305</v>
      </c>
      <c r="Q211" s="9" t="s">
        <v>306</v>
      </c>
      <c r="R211" s="9" t="s">
        <v>307</v>
      </c>
      <c r="Y211" s="10">
        <f>IF(S211="", "", IF(W211="Green", S211+30, IF(W211="Yellow", S211+7, IF(W211="Red", S211+2, ""))))</f>
        <v>0</v>
      </c>
      <c r="Z211" s="11">
        <f>IF(Y211="", "", (Y211-TODAY()) * 50 - V211 * 10 - G211 * 5 + IF(W211="Red", -20, IF(W211="Yellow", -10, 0)) - IFERROR(INDEX(Analytics!$F$5:$F$20, MATCH(C211, Analytics!$A$5:$A$20, 0)) * 5, 0) + MOD(A211, 7))</f>
        <v>0</v>
      </c>
    </row>
    <row r="212" spans="1:26">
      <c r="A212" s="11">
        <v>211</v>
      </c>
      <c r="B212" s="4" t="s">
        <v>572</v>
      </c>
      <c r="C212" s="12" t="s">
        <v>93</v>
      </c>
      <c r="D212" s="12" t="s">
        <v>61</v>
      </c>
      <c r="E212" s="12" t="s">
        <v>36</v>
      </c>
      <c r="F212" s="11">
        <v>60</v>
      </c>
      <c r="G212" s="11">
        <v>9</v>
      </c>
      <c r="H212" s="12" t="s">
        <v>117</v>
      </c>
      <c r="I212" s="12" t="s">
        <v>117</v>
      </c>
      <c r="J212" s="4" t="s">
        <v>205</v>
      </c>
      <c r="K212" s="4" t="s">
        <v>208</v>
      </c>
      <c r="L212" s="12" t="s">
        <v>131</v>
      </c>
      <c r="M212" s="12" t="s">
        <v>209</v>
      </c>
      <c r="N212" s="4" t="s">
        <v>336</v>
      </c>
      <c r="O212" s="9" t="s">
        <v>304</v>
      </c>
      <c r="P212" s="9" t="s">
        <v>305</v>
      </c>
      <c r="Q212" s="9" t="s">
        <v>306</v>
      </c>
      <c r="R212" s="9" t="s">
        <v>307</v>
      </c>
      <c r="Y212" s="10">
        <f>IF(S212="", "", IF(W212="Green", S212+30, IF(W212="Yellow", S212+7, IF(W212="Red", S212+2, ""))))</f>
        <v>0</v>
      </c>
      <c r="Z212" s="11">
        <f>IF(Y212="", "", (Y212-TODAY()) * 50 - V212 * 10 - G212 * 5 + IF(W212="Red", -20, IF(W212="Yellow", -10, 0)) - IFERROR(INDEX(Analytics!$F$5:$F$20, MATCH(C212, Analytics!$A$5:$A$20, 0)) * 5, 0) + MOD(A212, 7))</f>
        <v>0</v>
      </c>
    </row>
    <row r="213" spans="1:26">
      <c r="A213" s="11">
        <v>212</v>
      </c>
      <c r="B213" s="4" t="s">
        <v>573</v>
      </c>
      <c r="C213" s="12" t="s">
        <v>93</v>
      </c>
      <c r="D213" s="12" t="s">
        <v>61</v>
      </c>
      <c r="E213" s="12" t="s">
        <v>35</v>
      </c>
      <c r="F213" s="11">
        <v>40</v>
      </c>
      <c r="G213" s="11">
        <v>9</v>
      </c>
      <c r="H213" s="12" t="s">
        <v>150</v>
      </c>
      <c r="I213" s="12" t="s">
        <v>117</v>
      </c>
      <c r="J213" s="4" t="s">
        <v>205</v>
      </c>
      <c r="K213" s="4" t="s">
        <v>208</v>
      </c>
      <c r="L213" s="12" t="s">
        <v>131</v>
      </c>
      <c r="M213" s="12" t="s">
        <v>209</v>
      </c>
      <c r="N213" s="4" t="s">
        <v>315</v>
      </c>
      <c r="O213" s="9" t="s">
        <v>304</v>
      </c>
      <c r="P213" s="9" t="s">
        <v>305</v>
      </c>
      <c r="Q213" s="9" t="s">
        <v>306</v>
      </c>
      <c r="R213" s="9" t="s">
        <v>307</v>
      </c>
      <c r="Y213" s="10">
        <f>IF(S213="", "", IF(W213="Green", S213+30, IF(W213="Yellow", S213+7, IF(W213="Red", S213+2, ""))))</f>
        <v>0</v>
      </c>
      <c r="Z213" s="11">
        <f>IF(Y213="", "", (Y213-TODAY()) * 50 - V213 * 10 - G213 * 5 + IF(W213="Red", -20, IF(W213="Yellow", -10, 0)) - IFERROR(INDEX(Analytics!$F$5:$F$20, MATCH(C213, Analytics!$A$5:$A$20, 0)) * 5, 0) + MOD(A213, 7))</f>
        <v>0</v>
      </c>
    </row>
    <row r="214" spans="1:26">
      <c r="A214" s="11">
        <v>213</v>
      </c>
      <c r="B214" s="4" t="s">
        <v>574</v>
      </c>
      <c r="C214" s="12" t="s">
        <v>93</v>
      </c>
      <c r="D214" s="12" t="s">
        <v>61</v>
      </c>
      <c r="E214" s="12" t="s">
        <v>35</v>
      </c>
      <c r="F214" s="11">
        <v>40</v>
      </c>
      <c r="G214" s="11">
        <v>9</v>
      </c>
      <c r="H214" s="12" t="s">
        <v>150</v>
      </c>
      <c r="I214" s="12" t="s">
        <v>117</v>
      </c>
      <c r="J214" s="4" t="s">
        <v>205</v>
      </c>
      <c r="K214" s="4" t="s">
        <v>208</v>
      </c>
      <c r="L214" s="12" t="s">
        <v>131</v>
      </c>
      <c r="M214" s="12" t="s">
        <v>209</v>
      </c>
      <c r="N214" s="4" t="s">
        <v>533</v>
      </c>
      <c r="O214" s="9" t="s">
        <v>304</v>
      </c>
      <c r="P214" s="9" t="s">
        <v>305</v>
      </c>
      <c r="Q214" s="9" t="s">
        <v>306</v>
      </c>
      <c r="R214" s="9" t="s">
        <v>307</v>
      </c>
      <c r="Y214" s="10">
        <f>IF(S214="", "", IF(W214="Green", S214+30, IF(W214="Yellow", S214+7, IF(W214="Red", S214+2, ""))))</f>
        <v>0</v>
      </c>
      <c r="Z214" s="11">
        <f>IF(Y214="", "", (Y214-TODAY()) * 50 - V214 * 10 - G214 * 5 + IF(W214="Red", -20, IF(W214="Yellow", -10, 0)) - IFERROR(INDEX(Analytics!$F$5:$F$20, MATCH(C214, Analytics!$A$5:$A$20, 0)) * 5, 0) + MOD(A214, 7))</f>
        <v>0</v>
      </c>
    </row>
    <row r="215" spans="1:26">
      <c r="A215" s="11">
        <v>214</v>
      </c>
      <c r="B215" s="4" t="s">
        <v>575</v>
      </c>
      <c r="C215" s="12" t="s">
        <v>93</v>
      </c>
      <c r="D215" s="12" t="s">
        <v>61</v>
      </c>
      <c r="E215" s="12" t="s">
        <v>34</v>
      </c>
      <c r="F215" s="11">
        <v>20</v>
      </c>
      <c r="G215" s="11">
        <v>8</v>
      </c>
      <c r="H215" s="12" t="s">
        <v>150</v>
      </c>
      <c r="I215" s="12" t="s">
        <v>150</v>
      </c>
      <c r="J215" s="4" t="s">
        <v>205</v>
      </c>
      <c r="K215" s="4" t="s">
        <v>208</v>
      </c>
      <c r="L215" s="12" t="s">
        <v>131</v>
      </c>
      <c r="M215" s="12" t="s">
        <v>209</v>
      </c>
      <c r="N215" s="4" t="s">
        <v>386</v>
      </c>
      <c r="O215" s="9" t="s">
        <v>304</v>
      </c>
      <c r="P215" s="9" t="s">
        <v>305</v>
      </c>
      <c r="Q215" s="9" t="s">
        <v>306</v>
      </c>
      <c r="R215" s="9" t="s">
        <v>307</v>
      </c>
      <c r="Y215" s="10">
        <f>IF(S215="", "", IF(W215="Green", S215+30, IF(W215="Yellow", S215+7, IF(W215="Red", S215+2, ""))))</f>
        <v>0</v>
      </c>
      <c r="Z215" s="11">
        <f>IF(Y215="", "", (Y215-TODAY()) * 50 - V215 * 10 - G215 * 5 + IF(W215="Red", -20, IF(W215="Yellow", -10, 0)) - IFERROR(INDEX(Analytics!$F$5:$F$20, MATCH(C215, Analytics!$A$5:$A$20, 0)) * 5, 0) + MOD(A215, 7))</f>
        <v>0</v>
      </c>
    </row>
    <row r="216" spans="1:26">
      <c r="A216" s="11">
        <v>215</v>
      </c>
      <c r="B216" s="4" t="s">
        <v>576</v>
      </c>
      <c r="C216" s="12" t="s">
        <v>93</v>
      </c>
      <c r="D216" s="12" t="s">
        <v>46</v>
      </c>
      <c r="E216" s="12" t="s">
        <v>35</v>
      </c>
      <c r="F216" s="11">
        <v>40</v>
      </c>
      <c r="G216" s="11">
        <v>8</v>
      </c>
      <c r="H216" s="12" t="s">
        <v>150</v>
      </c>
      <c r="I216" s="12" t="s">
        <v>150</v>
      </c>
      <c r="J216" s="4" t="s">
        <v>228</v>
      </c>
      <c r="K216" s="4" t="s">
        <v>231</v>
      </c>
      <c r="L216" s="12" t="s">
        <v>232</v>
      </c>
      <c r="M216" s="12" t="s">
        <v>233</v>
      </c>
      <c r="N216" s="4" t="s">
        <v>354</v>
      </c>
      <c r="O216" s="9" t="s">
        <v>304</v>
      </c>
      <c r="P216" s="9" t="s">
        <v>305</v>
      </c>
      <c r="Q216" s="9" t="s">
        <v>306</v>
      </c>
      <c r="R216" s="9" t="s">
        <v>307</v>
      </c>
      <c r="Y216" s="10">
        <f>IF(S216="", "", IF(W216="Green", S216+30, IF(W216="Yellow", S216+7, IF(W216="Red", S216+2, ""))))</f>
        <v>0</v>
      </c>
      <c r="Z216" s="11">
        <f>IF(Y216="", "", (Y216-TODAY()) * 50 - V216 * 10 - G216 * 5 + IF(W216="Red", -20, IF(W216="Yellow", -10, 0)) - IFERROR(INDEX(Analytics!$F$5:$F$20, MATCH(C216, Analytics!$A$5:$A$20, 0)) * 5, 0) + MOD(A216, 7))</f>
        <v>0</v>
      </c>
    </row>
    <row r="217" spans="1:26">
      <c r="A217" s="11">
        <v>216</v>
      </c>
      <c r="B217" s="4" t="s">
        <v>577</v>
      </c>
      <c r="C217" s="12" t="s">
        <v>93</v>
      </c>
      <c r="D217" s="12" t="s">
        <v>46</v>
      </c>
      <c r="E217" s="12" t="s">
        <v>35</v>
      </c>
      <c r="F217" s="11">
        <v>40</v>
      </c>
      <c r="G217" s="11">
        <v>9</v>
      </c>
      <c r="H217" s="12" t="s">
        <v>117</v>
      </c>
      <c r="I217" s="12" t="s">
        <v>117</v>
      </c>
      <c r="J217" s="4" t="s">
        <v>228</v>
      </c>
      <c r="K217" s="4" t="s">
        <v>231</v>
      </c>
      <c r="L217" s="12" t="s">
        <v>232</v>
      </c>
      <c r="M217" s="12" t="s">
        <v>233</v>
      </c>
      <c r="N217" s="4" t="s">
        <v>336</v>
      </c>
      <c r="O217" s="9" t="s">
        <v>304</v>
      </c>
      <c r="P217" s="9" t="s">
        <v>305</v>
      </c>
      <c r="Q217" s="9" t="s">
        <v>306</v>
      </c>
      <c r="R217" s="9" t="s">
        <v>307</v>
      </c>
      <c r="Y217" s="10">
        <f>IF(S217="", "", IF(W217="Green", S217+30, IF(W217="Yellow", S217+7, IF(W217="Red", S217+2, ""))))</f>
        <v>0</v>
      </c>
      <c r="Z217" s="11">
        <f>IF(Y217="", "", (Y217-TODAY()) * 50 - V217 * 10 - G217 * 5 + IF(W217="Red", -20, IF(W217="Yellow", -10, 0)) - IFERROR(INDEX(Analytics!$F$5:$F$20, MATCH(C217, Analytics!$A$5:$A$20, 0)) * 5, 0) + MOD(A217, 7))</f>
        <v>0</v>
      </c>
    </row>
    <row r="218" spans="1:26">
      <c r="A218" s="11">
        <v>217</v>
      </c>
      <c r="B218" s="4" t="s">
        <v>578</v>
      </c>
      <c r="C218" s="12" t="s">
        <v>93</v>
      </c>
      <c r="D218" s="12" t="s">
        <v>46</v>
      </c>
      <c r="E218" s="12" t="s">
        <v>35</v>
      </c>
      <c r="F218" s="11">
        <v>40</v>
      </c>
      <c r="G218" s="11">
        <v>8</v>
      </c>
      <c r="H218" s="12" t="s">
        <v>150</v>
      </c>
      <c r="I218" s="12" t="s">
        <v>150</v>
      </c>
      <c r="J218" s="4" t="s">
        <v>228</v>
      </c>
      <c r="K218" s="4" t="s">
        <v>231</v>
      </c>
      <c r="L218" s="12" t="s">
        <v>232</v>
      </c>
      <c r="M218" s="12" t="s">
        <v>233</v>
      </c>
      <c r="N218" s="4" t="s">
        <v>336</v>
      </c>
      <c r="O218" s="9" t="s">
        <v>304</v>
      </c>
      <c r="P218" s="9" t="s">
        <v>305</v>
      </c>
      <c r="Q218" s="9" t="s">
        <v>306</v>
      </c>
      <c r="R218" s="9" t="s">
        <v>307</v>
      </c>
      <c r="Y218" s="10">
        <f>IF(S218="", "", IF(W218="Green", S218+30, IF(W218="Yellow", S218+7, IF(W218="Red", S218+2, ""))))</f>
        <v>0</v>
      </c>
      <c r="Z218" s="11">
        <f>IF(Y218="", "", (Y218-TODAY()) * 50 - V218 * 10 - G218 * 5 + IF(W218="Red", -20, IF(W218="Yellow", -10, 0)) - IFERROR(INDEX(Analytics!$F$5:$F$20, MATCH(C218, Analytics!$A$5:$A$20, 0)) * 5, 0) + MOD(A218, 7))</f>
        <v>0</v>
      </c>
    </row>
    <row r="219" spans="1:26">
      <c r="A219" s="11">
        <v>218</v>
      </c>
      <c r="B219" s="4" t="s">
        <v>579</v>
      </c>
      <c r="C219" s="12" t="s">
        <v>93</v>
      </c>
      <c r="D219" s="12" t="s">
        <v>46</v>
      </c>
      <c r="E219" s="12" t="s">
        <v>34</v>
      </c>
      <c r="F219" s="11">
        <v>20</v>
      </c>
      <c r="G219" s="11">
        <v>8</v>
      </c>
      <c r="H219" s="12" t="s">
        <v>317</v>
      </c>
      <c r="I219" s="12" t="s">
        <v>150</v>
      </c>
      <c r="J219" s="4" t="s">
        <v>228</v>
      </c>
      <c r="K219" s="4" t="s">
        <v>231</v>
      </c>
      <c r="L219" s="12" t="s">
        <v>232</v>
      </c>
      <c r="M219" s="12" t="s">
        <v>233</v>
      </c>
      <c r="N219" s="4" t="s">
        <v>75</v>
      </c>
      <c r="O219" s="9" t="s">
        <v>304</v>
      </c>
      <c r="P219" s="9" t="s">
        <v>305</v>
      </c>
      <c r="Q219" s="9" t="s">
        <v>306</v>
      </c>
      <c r="R219" s="9" t="s">
        <v>307</v>
      </c>
      <c r="Y219" s="10">
        <f>IF(S219="", "", IF(W219="Green", S219+30, IF(W219="Yellow", S219+7, IF(W219="Red", S219+2, ""))))</f>
        <v>0</v>
      </c>
      <c r="Z219" s="11">
        <f>IF(Y219="", "", (Y219-TODAY()) * 50 - V219 * 10 - G219 * 5 + IF(W219="Red", -20, IF(W219="Yellow", -10, 0)) - IFERROR(INDEX(Analytics!$F$5:$F$20, MATCH(C219, Analytics!$A$5:$A$20, 0)) * 5, 0) + MOD(A219, 7))</f>
        <v>0</v>
      </c>
    </row>
    <row r="220" spans="1:26">
      <c r="A220" s="11">
        <v>219</v>
      </c>
      <c r="B220" s="4" t="s">
        <v>580</v>
      </c>
      <c r="C220" s="12" t="s">
        <v>93</v>
      </c>
      <c r="D220" s="12" t="s">
        <v>46</v>
      </c>
      <c r="E220" s="12" t="s">
        <v>36</v>
      </c>
      <c r="F220" s="11">
        <v>60</v>
      </c>
      <c r="G220" s="11">
        <v>10</v>
      </c>
      <c r="H220" s="12" t="s">
        <v>117</v>
      </c>
      <c r="I220" s="12" t="s">
        <v>117</v>
      </c>
      <c r="J220" s="4" t="s">
        <v>228</v>
      </c>
      <c r="K220" s="4" t="s">
        <v>231</v>
      </c>
      <c r="L220" s="12" t="s">
        <v>232</v>
      </c>
      <c r="M220" s="12" t="s">
        <v>233</v>
      </c>
      <c r="N220" s="4" t="s">
        <v>336</v>
      </c>
      <c r="O220" s="9" t="s">
        <v>304</v>
      </c>
      <c r="P220" s="9" t="s">
        <v>305</v>
      </c>
      <c r="Q220" s="9" t="s">
        <v>306</v>
      </c>
      <c r="R220" s="9" t="s">
        <v>307</v>
      </c>
      <c r="Y220" s="10">
        <f>IF(S220="", "", IF(W220="Green", S220+30, IF(W220="Yellow", S220+7, IF(W220="Red", S220+2, ""))))</f>
        <v>0</v>
      </c>
      <c r="Z220" s="11">
        <f>IF(Y220="", "", (Y220-TODAY()) * 50 - V220 * 10 - G220 * 5 + IF(W220="Red", -20, IF(W220="Yellow", -10, 0)) - IFERROR(INDEX(Analytics!$F$5:$F$20, MATCH(C220, Analytics!$A$5:$A$20, 0)) * 5, 0) + MOD(A220, 7))</f>
        <v>0</v>
      </c>
    </row>
    <row r="221" spans="1:26">
      <c r="A221" s="11">
        <v>220</v>
      </c>
      <c r="B221" s="4" t="s">
        <v>581</v>
      </c>
      <c r="C221" s="12" t="s">
        <v>93</v>
      </c>
      <c r="D221" s="12" t="s">
        <v>40</v>
      </c>
      <c r="E221" s="12" t="s">
        <v>35</v>
      </c>
      <c r="F221" s="11">
        <v>40</v>
      </c>
      <c r="G221" s="11">
        <v>8</v>
      </c>
      <c r="H221" s="12" t="s">
        <v>150</v>
      </c>
      <c r="I221" s="12" t="s">
        <v>150</v>
      </c>
      <c r="J221" s="4" t="s">
        <v>236</v>
      </c>
      <c r="K221" s="4" t="s">
        <v>239</v>
      </c>
      <c r="L221" s="12" t="s">
        <v>232</v>
      </c>
      <c r="M221" s="12" t="s">
        <v>240</v>
      </c>
      <c r="N221" s="4" t="s">
        <v>70</v>
      </c>
      <c r="O221" s="9" t="s">
        <v>304</v>
      </c>
      <c r="P221" s="9" t="s">
        <v>305</v>
      </c>
      <c r="Q221" s="9" t="s">
        <v>306</v>
      </c>
      <c r="R221" s="9" t="s">
        <v>307</v>
      </c>
      <c r="Y221" s="10">
        <f>IF(S221="", "", IF(W221="Green", S221+30, IF(W221="Yellow", S221+7, IF(W221="Red", S221+2, ""))))</f>
        <v>0</v>
      </c>
      <c r="Z221" s="11">
        <f>IF(Y221="", "", (Y221-TODAY()) * 50 - V221 * 10 - G221 * 5 + IF(W221="Red", -20, IF(W221="Yellow", -10, 0)) - IFERROR(INDEX(Analytics!$F$5:$F$20, MATCH(C221, Analytics!$A$5:$A$20, 0)) * 5, 0) + MOD(A221, 7))</f>
        <v>0</v>
      </c>
    </row>
    <row r="222" spans="1:26">
      <c r="A222" s="11">
        <v>221</v>
      </c>
      <c r="B222" s="4" t="s">
        <v>582</v>
      </c>
      <c r="C222" s="12" t="s">
        <v>93</v>
      </c>
      <c r="D222" s="12" t="s">
        <v>40</v>
      </c>
      <c r="E222" s="12" t="s">
        <v>35</v>
      </c>
      <c r="F222" s="11">
        <v>40</v>
      </c>
      <c r="G222" s="11">
        <v>9</v>
      </c>
      <c r="H222" s="12" t="s">
        <v>117</v>
      </c>
      <c r="I222" s="12" t="s">
        <v>117</v>
      </c>
      <c r="J222" s="4" t="s">
        <v>236</v>
      </c>
      <c r="K222" s="4" t="s">
        <v>239</v>
      </c>
      <c r="L222" s="12" t="s">
        <v>232</v>
      </c>
      <c r="M222" s="12" t="s">
        <v>240</v>
      </c>
      <c r="N222" s="4" t="s">
        <v>336</v>
      </c>
      <c r="O222" s="9" t="s">
        <v>304</v>
      </c>
      <c r="P222" s="9" t="s">
        <v>305</v>
      </c>
      <c r="Q222" s="9" t="s">
        <v>306</v>
      </c>
      <c r="R222" s="9" t="s">
        <v>307</v>
      </c>
      <c r="Y222" s="10">
        <f>IF(S222="", "", IF(W222="Green", S222+30, IF(W222="Yellow", S222+7, IF(W222="Red", S222+2, ""))))</f>
        <v>0</v>
      </c>
      <c r="Z222" s="11">
        <f>IF(Y222="", "", (Y222-TODAY()) * 50 - V222 * 10 - G222 * 5 + IF(W222="Red", -20, IF(W222="Yellow", -10, 0)) - IFERROR(INDEX(Analytics!$F$5:$F$20, MATCH(C222, Analytics!$A$5:$A$20, 0)) * 5, 0) + MOD(A222, 7))</f>
        <v>0</v>
      </c>
    </row>
    <row r="223" spans="1:26">
      <c r="A223" s="11">
        <v>222</v>
      </c>
      <c r="B223" s="4" t="s">
        <v>583</v>
      </c>
      <c r="C223" s="12" t="s">
        <v>93</v>
      </c>
      <c r="D223" s="12" t="s">
        <v>46</v>
      </c>
      <c r="E223" s="12" t="s">
        <v>35</v>
      </c>
      <c r="F223" s="11">
        <v>40</v>
      </c>
      <c r="G223" s="11">
        <v>9</v>
      </c>
      <c r="H223" s="12" t="s">
        <v>150</v>
      </c>
      <c r="I223" s="12" t="s">
        <v>117</v>
      </c>
      <c r="J223" s="4" t="s">
        <v>228</v>
      </c>
      <c r="K223" s="4" t="s">
        <v>231</v>
      </c>
      <c r="L223" s="12" t="s">
        <v>232</v>
      </c>
      <c r="M223" s="12" t="s">
        <v>233</v>
      </c>
      <c r="N223" s="4" t="s">
        <v>324</v>
      </c>
      <c r="O223" s="9" t="s">
        <v>304</v>
      </c>
      <c r="P223" s="9" t="s">
        <v>305</v>
      </c>
      <c r="Q223" s="9" t="s">
        <v>306</v>
      </c>
      <c r="R223" s="9" t="s">
        <v>307</v>
      </c>
      <c r="Y223" s="10">
        <f>IF(S223="", "", IF(W223="Green", S223+30, IF(W223="Yellow", S223+7, IF(W223="Red", S223+2, ""))))</f>
        <v>0</v>
      </c>
      <c r="Z223" s="11">
        <f>IF(Y223="", "", (Y223-TODAY()) * 50 - V223 * 10 - G223 * 5 + IF(W223="Red", -20, IF(W223="Yellow", -10, 0)) - IFERROR(INDEX(Analytics!$F$5:$F$20, MATCH(C223, Analytics!$A$5:$A$20, 0)) * 5, 0) + MOD(A223, 7))</f>
        <v>0</v>
      </c>
    </row>
    <row r="224" spans="1:26">
      <c r="A224" s="11">
        <v>223</v>
      </c>
      <c r="B224" s="4" t="s">
        <v>584</v>
      </c>
      <c r="C224" s="12" t="s">
        <v>93</v>
      </c>
      <c r="D224" s="12" t="s">
        <v>40</v>
      </c>
      <c r="E224" s="12" t="s">
        <v>36</v>
      </c>
      <c r="F224" s="11">
        <v>60</v>
      </c>
      <c r="G224" s="11">
        <v>9</v>
      </c>
      <c r="H224" s="12" t="s">
        <v>117</v>
      </c>
      <c r="I224" s="12" t="s">
        <v>117</v>
      </c>
      <c r="J224" s="4" t="s">
        <v>236</v>
      </c>
      <c r="K224" s="4" t="s">
        <v>239</v>
      </c>
      <c r="L224" s="12" t="s">
        <v>232</v>
      </c>
      <c r="M224" s="12" t="s">
        <v>240</v>
      </c>
      <c r="N224" s="4" t="s">
        <v>73</v>
      </c>
      <c r="O224" s="9" t="s">
        <v>304</v>
      </c>
      <c r="P224" s="9" t="s">
        <v>305</v>
      </c>
      <c r="Q224" s="9" t="s">
        <v>306</v>
      </c>
      <c r="R224" s="9" t="s">
        <v>307</v>
      </c>
      <c r="Y224" s="10">
        <f>IF(S224="", "", IF(W224="Green", S224+30, IF(W224="Yellow", S224+7, IF(W224="Red", S224+2, ""))))</f>
        <v>0</v>
      </c>
      <c r="Z224" s="11">
        <f>IF(Y224="", "", (Y224-TODAY()) * 50 - V224 * 10 - G224 * 5 + IF(W224="Red", -20, IF(W224="Yellow", -10, 0)) - IFERROR(INDEX(Analytics!$F$5:$F$20, MATCH(C224, Analytics!$A$5:$A$20, 0)) * 5, 0) + MOD(A224, 7))</f>
        <v>0</v>
      </c>
    </row>
    <row r="225" spans="1:26">
      <c r="A225" s="11">
        <v>224</v>
      </c>
      <c r="B225" s="4" t="s">
        <v>585</v>
      </c>
      <c r="C225" s="12" t="s">
        <v>41</v>
      </c>
      <c r="D225" s="12" t="s">
        <v>46</v>
      </c>
      <c r="E225" s="12" t="s">
        <v>34</v>
      </c>
      <c r="F225" s="11">
        <v>20</v>
      </c>
      <c r="G225" s="11">
        <v>10</v>
      </c>
      <c r="H225" s="12" t="s">
        <v>117</v>
      </c>
      <c r="I225" s="12" t="s">
        <v>117</v>
      </c>
      <c r="J225" s="4" t="s">
        <v>228</v>
      </c>
      <c r="K225" s="4" t="s">
        <v>231</v>
      </c>
      <c r="L225" s="12" t="s">
        <v>232</v>
      </c>
      <c r="M225" s="12" t="s">
        <v>233</v>
      </c>
      <c r="N225" s="4" t="s">
        <v>395</v>
      </c>
      <c r="O225" s="9" t="s">
        <v>304</v>
      </c>
      <c r="P225" s="9" t="s">
        <v>305</v>
      </c>
      <c r="Q225" s="9" t="s">
        <v>306</v>
      </c>
      <c r="R225" s="9" t="s">
        <v>307</v>
      </c>
      <c r="Y225" s="10">
        <f>IF(S225="", "", IF(W225="Green", S225+30, IF(W225="Yellow", S225+7, IF(W225="Red", S225+2, ""))))</f>
        <v>0</v>
      </c>
      <c r="Z225" s="11">
        <f>IF(Y225="", "", (Y225-TODAY()) * 50 - V225 * 10 - G225 * 5 + IF(W225="Red", -20, IF(W225="Yellow", -10, 0)) - IFERROR(INDEX(Analytics!$F$5:$F$20, MATCH(C225, Analytics!$A$5:$A$20, 0)) * 5, 0) + MOD(A225, 7))</f>
        <v>0</v>
      </c>
    </row>
    <row r="226" spans="1:26">
      <c r="A226" s="11">
        <v>225</v>
      </c>
      <c r="B226" s="4" t="s">
        <v>586</v>
      </c>
      <c r="C226" s="12" t="s">
        <v>41</v>
      </c>
      <c r="D226" s="12" t="s">
        <v>46</v>
      </c>
      <c r="E226" s="12" t="s">
        <v>34</v>
      </c>
      <c r="F226" s="11">
        <v>20</v>
      </c>
      <c r="G226" s="11">
        <v>9</v>
      </c>
      <c r="H226" s="12" t="s">
        <v>150</v>
      </c>
      <c r="I226" s="12" t="s">
        <v>117</v>
      </c>
      <c r="J226" s="4" t="s">
        <v>228</v>
      </c>
      <c r="K226" s="4" t="s">
        <v>231</v>
      </c>
      <c r="L226" s="12" t="s">
        <v>232</v>
      </c>
      <c r="M226" s="12" t="s">
        <v>233</v>
      </c>
      <c r="N226" s="4" t="s">
        <v>397</v>
      </c>
      <c r="O226" s="9" t="s">
        <v>304</v>
      </c>
      <c r="P226" s="9" t="s">
        <v>305</v>
      </c>
      <c r="Q226" s="9" t="s">
        <v>306</v>
      </c>
      <c r="R226" s="9" t="s">
        <v>307</v>
      </c>
      <c r="Y226" s="10">
        <f>IF(S226="", "", IF(W226="Green", S226+30, IF(W226="Yellow", S226+7, IF(W226="Red", S226+2, ""))))</f>
        <v>0</v>
      </c>
      <c r="Z226" s="11">
        <f>IF(Y226="", "", (Y226-TODAY()) * 50 - V226 * 10 - G226 * 5 + IF(W226="Red", -20, IF(W226="Yellow", -10, 0)) - IFERROR(INDEX(Analytics!$F$5:$F$20, MATCH(C226, Analytics!$A$5:$A$20, 0)) * 5, 0) + MOD(A226, 7))</f>
        <v>0</v>
      </c>
    </row>
    <row r="227" spans="1:26">
      <c r="A227" s="11">
        <v>226</v>
      </c>
      <c r="B227" s="4" t="s">
        <v>587</v>
      </c>
      <c r="C227" s="12" t="s">
        <v>41</v>
      </c>
      <c r="D227" s="12" t="s">
        <v>46</v>
      </c>
      <c r="E227" s="12" t="s">
        <v>35</v>
      </c>
      <c r="F227" s="11">
        <v>40</v>
      </c>
      <c r="G227" s="11">
        <v>9</v>
      </c>
      <c r="H227" s="12" t="s">
        <v>150</v>
      </c>
      <c r="I227" s="12" t="s">
        <v>117</v>
      </c>
      <c r="J227" s="4" t="s">
        <v>228</v>
      </c>
      <c r="K227" s="4" t="s">
        <v>231</v>
      </c>
      <c r="L227" s="12" t="s">
        <v>232</v>
      </c>
      <c r="M227" s="12" t="s">
        <v>233</v>
      </c>
      <c r="N227" s="4" t="s">
        <v>477</v>
      </c>
      <c r="O227" s="9" t="s">
        <v>304</v>
      </c>
      <c r="P227" s="9" t="s">
        <v>305</v>
      </c>
      <c r="Q227" s="9" t="s">
        <v>306</v>
      </c>
      <c r="R227" s="9" t="s">
        <v>307</v>
      </c>
      <c r="Y227" s="10">
        <f>IF(S227="", "", IF(W227="Green", S227+30, IF(W227="Yellow", S227+7, IF(W227="Red", S227+2, ""))))</f>
        <v>0</v>
      </c>
      <c r="Z227" s="11">
        <f>IF(Y227="", "", (Y227-TODAY()) * 50 - V227 * 10 - G227 * 5 + IF(W227="Red", -20, IF(W227="Yellow", -10, 0)) - IFERROR(INDEX(Analytics!$F$5:$F$20, MATCH(C227, Analytics!$A$5:$A$20, 0)) * 5, 0) + MOD(A227, 7))</f>
        <v>0</v>
      </c>
    </row>
    <row r="228" spans="1:26">
      <c r="A228" s="11">
        <v>227</v>
      </c>
      <c r="B228" s="4" t="s">
        <v>588</v>
      </c>
      <c r="C228" s="12" t="s">
        <v>41</v>
      </c>
      <c r="D228" s="12" t="s">
        <v>46</v>
      </c>
      <c r="E228" s="12" t="s">
        <v>35</v>
      </c>
      <c r="F228" s="11">
        <v>40</v>
      </c>
      <c r="G228" s="11">
        <v>9</v>
      </c>
      <c r="H228" s="12" t="s">
        <v>117</v>
      </c>
      <c r="I228" s="12" t="s">
        <v>117</v>
      </c>
      <c r="J228" s="4" t="s">
        <v>228</v>
      </c>
      <c r="K228" s="4" t="s">
        <v>231</v>
      </c>
      <c r="L228" s="12" t="s">
        <v>232</v>
      </c>
      <c r="M228" s="12" t="s">
        <v>233</v>
      </c>
      <c r="N228" s="4" t="s">
        <v>404</v>
      </c>
      <c r="O228" s="9" t="s">
        <v>304</v>
      </c>
      <c r="P228" s="9" t="s">
        <v>305</v>
      </c>
      <c r="Q228" s="9" t="s">
        <v>306</v>
      </c>
      <c r="R228" s="9" t="s">
        <v>307</v>
      </c>
      <c r="Y228" s="10">
        <f>IF(S228="", "", IF(W228="Green", S228+30, IF(W228="Yellow", S228+7, IF(W228="Red", S228+2, ""))))</f>
        <v>0</v>
      </c>
      <c r="Z228" s="11">
        <f>IF(Y228="", "", (Y228-TODAY()) * 50 - V228 * 10 - G228 * 5 + IF(W228="Red", -20, IF(W228="Yellow", -10, 0)) - IFERROR(INDEX(Analytics!$F$5:$F$20, MATCH(C228, Analytics!$A$5:$A$20, 0)) * 5, 0) + MOD(A228, 7))</f>
        <v>0</v>
      </c>
    </row>
    <row r="229" spans="1:26">
      <c r="A229" s="11">
        <v>228</v>
      </c>
      <c r="B229" s="4" t="s">
        <v>589</v>
      </c>
      <c r="C229" s="12" t="s">
        <v>41</v>
      </c>
      <c r="D229" s="12" t="s">
        <v>46</v>
      </c>
      <c r="E229" s="12" t="s">
        <v>35</v>
      </c>
      <c r="F229" s="11">
        <v>40</v>
      </c>
      <c r="G229" s="11">
        <v>10</v>
      </c>
      <c r="H229" s="12" t="s">
        <v>117</v>
      </c>
      <c r="I229" s="12" t="s">
        <v>117</v>
      </c>
      <c r="J229" s="4" t="s">
        <v>228</v>
      </c>
      <c r="K229" s="4" t="s">
        <v>231</v>
      </c>
      <c r="L229" s="12" t="s">
        <v>232</v>
      </c>
      <c r="M229" s="12" t="s">
        <v>233</v>
      </c>
      <c r="N229" s="4" t="s">
        <v>315</v>
      </c>
      <c r="O229" s="9" t="s">
        <v>304</v>
      </c>
      <c r="P229" s="9" t="s">
        <v>305</v>
      </c>
      <c r="Q229" s="9" t="s">
        <v>306</v>
      </c>
      <c r="R229" s="9" t="s">
        <v>307</v>
      </c>
      <c r="Y229" s="10">
        <f>IF(S229="", "", IF(W229="Green", S229+30, IF(W229="Yellow", S229+7, IF(W229="Red", S229+2, ""))))</f>
        <v>0</v>
      </c>
      <c r="Z229" s="11">
        <f>IF(Y229="", "", (Y229-TODAY()) * 50 - V229 * 10 - G229 * 5 + IF(W229="Red", -20, IF(W229="Yellow", -10, 0)) - IFERROR(INDEX(Analytics!$F$5:$F$20, MATCH(C229, Analytics!$A$5:$A$20, 0)) * 5, 0) + MOD(A229, 7))</f>
        <v>0</v>
      </c>
    </row>
    <row r="230" spans="1:26">
      <c r="A230" s="11">
        <v>229</v>
      </c>
      <c r="B230" s="4" t="s">
        <v>590</v>
      </c>
      <c r="C230" s="12" t="s">
        <v>41</v>
      </c>
      <c r="D230" s="12" t="s">
        <v>61</v>
      </c>
      <c r="E230" s="12" t="s">
        <v>34</v>
      </c>
      <c r="F230" s="11">
        <v>20</v>
      </c>
      <c r="G230" s="11">
        <v>9</v>
      </c>
      <c r="H230" s="12" t="s">
        <v>117</v>
      </c>
      <c r="I230" s="12" t="s">
        <v>117</v>
      </c>
      <c r="J230" s="4" t="s">
        <v>205</v>
      </c>
      <c r="K230" s="4" t="s">
        <v>208</v>
      </c>
      <c r="L230" s="12" t="s">
        <v>131</v>
      </c>
      <c r="M230" s="12" t="s">
        <v>209</v>
      </c>
      <c r="N230" s="4" t="s">
        <v>338</v>
      </c>
      <c r="O230" s="9" t="s">
        <v>304</v>
      </c>
      <c r="P230" s="9" t="s">
        <v>305</v>
      </c>
      <c r="Q230" s="9" t="s">
        <v>306</v>
      </c>
      <c r="R230" s="9" t="s">
        <v>307</v>
      </c>
      <c r="Y230" s="10">
        <f>IF(S230="", "", IF(W230="Green", S230+30, IF(W230="Yellow", S230+7, IF(W230="Red", S230+2, ""))))</f>
        <v>0</v>
      </c>
      <c r="Z230" s="11">
        <f>IF(Y230="", "", (Y230-TODAY()) * 50 - V230 * 10 - G230 * 5 + IF(W230="Red", -20, IF(W230="Yellow", -10, 0)) - IFERROR(INDEX(Analytics!$F$5:$F$20, MATCH(C230, Analytics!$A$5:$A$20, 0)) * 5, 0) + MOD(A230, 7))</f>
        <v>0</v>
      </c>
    </row>
    <row r="231" spans="1:26">
      <c r="A231" s="11">
        <v>230</v>
      </c>
      <c r="B231" s="4" t="s">
        <v>591</v>
      </c>
      <c r="C231" s="12" t="s">
        <v>41</v>
      </c>
      <c r="D231" s="12" t="s">
        <v>46</v>
      </c>
      <c r="E231" s="12" t="s">
        <v>35</v>
      </c>
      <c r="F231" s="11">
        <v>40</v>
      </c>
      <c r="G231" s="11">
        <v>8</v>
      </c>
      <c r="H231" s="12" t="s">
        <v>150</v>
      </c>
      <c r="I231" s="12" t="s">
        <v>150</v>
      </c>
      <c r="J231" s="4" t="s">
        <v>228</v>
      </c>
      <c r="K231" s="4" t="s">
        <v>231</v>
      </c>
      <c r="L231" s="12" t="s">
        <v>232</v>
      </c>
      <c r="M231" s="12" t="s">
        <v>233</v>
      </c>
      <c r="N231" s="4" t="s">
        <v>499</v>
      </c>
      <c r="O231" s="9" t="s">
        <v>304</v>
      </c>
      <c r="P231" s="9" t="s">
        <v>305</v>
      </c>
      <c r="Q231" s="9" t="s">
        <v>306</v>
      </c>
      <c r="R231" s="9" t="s">
        <v>307</v>
      </c>
      <c r="Y231" s="10">
        <f>IF(S231="", "", IF(W231="Green", S231+30, IF(W231="Yellow", S231+7, IF(W231="Red", S231+2, ""))))</f>
        <v>0</v>
      </c>
      <c r="Z231" s="11">
        <f>IF(Y231="", "", (Y231-TODAY()) * 50 - V231 * 10 - G231 * 5 + IF(W231="Red", -20, IF(W231="Yellow", -10, 0)) - IFERROR(INDEX(Analytics!$F$5:$F$20, MATCH(C231, Analytics!$A$5:$A$20, 0)) * 5, 0) + MOD(A231, 7))</f>
        <v>0</v>
      </c>
    </row>
    <row r="232" spans="1:26">
      <c r="A232" s="11">
        <v>231</v>
      </c>
      <c r="B232" s="4" t="s">
        <v>592</v>
      </c>
      <c r="C232" s="12" t="s">
        <v>41</v>
      </c>
      <c r="D232" s="12" t="s">
        <v>46</v>
      </c>
      <c r="E232" s="12" t="s">
        <v>35</v>
      </c>
      <c r="F232" s="11">
        <v>40</v>
      </c>
      <c r="G232" s="11">
        <v>9</v>
      </c>
      <c r="H232" s="12" t="s">
        <v>117</v>
      </c>
      <c r="I232" s="12" t="s">
        <v>117</v>
      </c>
      <c r="J232" s="4" t="s">
        <v>228</v>
      </c>
      <c r="K232" s="4" t="s">
        <v>231</v>
      </c>
      <c r="L232" s="12" t="s">
        <v>232</v>
      </c>
      <c r="M232" s="12" t="s">
        <v>233</v>
      </c>
      <c r="N232" s="4" t="s">
        <v>324</v>
      </c>
      <c r="O232" s="9" t="s">
        <v>304</v>
      </c>
      <c r="P232" s="9" t="s">
        <v>305</v>
      </c>
      <c r="Q232" s="9" t="s">
        <v>306</v>
      </c>
      <c r="R232" s="9" t="s">
        <v>307</v>
      </c>
      <c r="Y232" s="10">
        <f>IF(S232="", "", IF(W232="Green", S232+30, IF(W232="Yellow", S232+7, IF(W232="Red", S232+2, ""))))</f>
        <v>0</v>
      </c>
      <c r="Z232" s="11">
        <f>IF(Y232="", "", (Y232-TODAY()) * 50 - V232 * 10 - G232 * 5 + IF(W232="Red", -20, IF(W232="Yellow", -10, 0)) - IFERROR(INDEX(Analytics!$F$5:$F$20, MATCH(C232, Analytics!$A$5:$A$20, 0)) * 5, 0) + MOD(A232, 7))</f>
        <v>0</v>
      </c>
    </row>
    <row r="233" spans="1:26">
      <c r="A233" s="11">
        <v>232</v>
      </c>
      <c r="B233" s="4" t="s">
        <v>593</v>
      </c>
      <c r="C233" s="12" t="s">
        <v>41</v>
      </c>
      <c r="D233" s="12" t="s">
        <v>49</v>
      </c>
      <c r="E233" s="12" t="s">
        <v>34</v>
      </c>
      <c r="F233" s="11">
        <v>20</v>
      </c>
      <c r="G233" s="11">
        <v>8</v>
      </c>
      <c r="H233" s="12" t="s">
        <v>150</v>
      </c>
      <c r="I233" s="12" t="s">
        <v>150</v>
      </c>
      <c r="J233" s="4" t="s">
        <v>119</v>
      </c>
      <c r="K233" s="4" t="s">
        <v>122</v>
      </c>
      <c r="L233" s="12" t="s">
        <v>123</v>
      </c>
      <c r="M233" s="12" t="s">
        <v>124</v>
      </c>
      <c r="N233" s="4" t="s">
        <v>328</v>
      </c>
      <c r="O233" s="9" t="s">
        <v>304</v>
      </c>
      <c r="P233" s="9" t="s">
        <v>305</v>
      </c>
      <c r="Q233" s="9" t="s">
        <v>306</v>
      </c>
      <c r="R233" s="9" t="s">
        <v>307</v>
      </c>
      <c r="Y233" s="10">
        <f>IF(S233="", "", IF(W233="Green", S233+30, IF(W233="Yellow", S233+7, IF(W233="Red", S233+2, ""))))</f>
        <v>0</v>
      </c>
      <c r="Z233" s="11">
        <f>IF(Y233="", "", (Y233-TODAY()) * 50 - V233 * 10 - G233 * 5 + IF(W233="Red", -20, IF(W233="Yellow", -10, 0)) - IFERROR(INDEX(Analytics!$F$5:$F$20, MATCH(C233, Analytics!$A$5:$A$20, 0)) * 5, 0) + MOD(A233, 7))</f>
        <v>0</v>
      </c>
    </row>
    <row r="234" spans="1:26">
      <c r="A234" s="11">
        <v>233</v>
      </c>
      <c r="B234" s="4" t="s">
        <v>594</v>
      </c>
      <c r="C234" s="12" t="s">
        <v>41</v>
      </c>
      <c r="D234" s="12" t="s">
        <v>46</v>
      </c>
      <c r="E234" s="12" t="s">
        <v>35</v>
      </c>
      <c r="F234" s="11">
        <v>40</v>
      </c>
      <c r="G234" s="11">
        <v>9</v>
      </c>
      <c r="H234" s="12" t="s">
        <v>150</v>
      </c>
      <c r="I234" s="12" t="s">
        <v>117</v>
      </c>
      <c r="J234" s="4" t="s">
        <v>228</v>
      </c>
      <c r="K234" s="4" t="s">
        <v>231</v>
      </c>
      <c r="L234" s="12" t="s">
        <v>232</v>
      </c>
      <c r="M234" s="12" t="s">
        <v>233</v>
      </c>
      <c r="N234" s="4" t="s">
        <v>436</v>
      </c>
      <c r="O234" s="9" t="s">
        <v>304</v>
      </c>
      <c r="P234" s="9" t="s">
        <v>305</v>
      </c>
      <c r="Q234" s="9" t="s">
        <v>306</v>
      </c>
      <c r="R234" s="9" t="s">
        <v>307</v>
      </c>
      <c r="Y234" s="10">
        <f>IF(S234="", "", IF(W234="Green", S234+30, IF(W234="Yellow", S234+7, IF(W234="Red", S234+2, ""))))</f>
        <v>0</v>
      </c>
      <c r="Z234" s="11">
        <f>IF(Y234="", "", (Y234-TODAY()) * 50 - V234 * 10 - G234 * 5 + IF(W234="Red", -20, IF(W234="Yellow", -10, 0)) - IFERROR(INDEX(Analytics!$F$5:$F$20, MATCH(C234, Analytics!$A$5:$A$20, 0)) * 5, 0) + MOD(A234, 7))</f>
        <v>0</v>
      </c>
    </row>
    <row r="235" spans="1:26">
      <c r="A235" s="11">
        <v>234</v>
      </c>
      <c r="B235" s="4" t="s">
        <v>595</v>
      </c>
      <c r="C235" s="12" t="s">
        <v>41</v>
      </c>
      <c r="D235" s="12" t="s">
        <v>46</v>
      </c>
      <c r="E235" s="12" t="s">
        <v>35</v>
      </c>
      <c r="F235" s="11">
        <v>40</v>
      </c>
      <c r="G235" s="11">
        <v>9</v>
      </c>
      <c r="H235" s="12" t="s">
        <v>117</v>
      </c>
      <c r="I235" s="12" t="s">
        <v>117</v>
      </c>
      <c r="J235" s="4" t="s">
        <v>228</v>
      </c>
      <c r="K235" s="4" t="s">
        <v>231</v>
      </c>
      <c r="L235" s="12" t="s">
        <v>232</v>
      </c>
      <c r="M235" s="12" t="s">
        <v>233</v>
      </c>
      <c r="N235" s="4" t="s">
        <v>352</v>
      </c>
      <c r="O235" s="9" t="s">
        <v>304</v>
      </c>
      <c r="P235" s="9" t="s">
        <v>305</v>
      </c>
      <c r="Q235" s="9" t="s">
        <v>306</v>
      </c>
      <c r="R235" s="9" t="s">
        <v>307</v>
      </c>
      <c r="Y235" s="10">
        <f>IF(S235="", "", IF(W235="Green", S235+30, IF(W235="Yellow", S235+7, IF(W235="Red", S235+2, ""))))</f>
        <v>0</v>
      </c>
      <c r="Z235" s="11">
        <f>IF(Y235="", "", (Y235-TODAY()) * 50 - V235 * 10 - G235 * 5 + IF(W235="Red", -20, IF(W235="Yellow", -10, 0)) - IFERROR(INDEX(Analytics!$F$5:$F$20, MATCH(C235, Analytics!$A$5:$A$20, 0)) * 5, 0) + MOD(A235, 7))</f>
        <v>0</v>
      </c>
    </row>
    <row r="236" spans="1:26">
      <c r="A236" s="11">
        <v>235</v>
      </c>
      <c r="B236" s="4" t="s">
        <v>596</v>
      </c>
      <c r="C236" s="12" t="s">
        <v>41</v>
      </c>
      <c r="D236" s="12" t="s">
        <v>46</v>
      </c>
      <c r="E236" s="12" t="s">
        <v>36</v>
      </c>
      <c r="F236" s="11">
        <v>60</v>
      </c>
      <c r="G236" s="11">
        <v>8</v>
      </c>
      <c r="H236" s="12" t="s">
        <v>317</v>
      </c>
      <c r="I236" s="12" t="s">
        <v>150</v>
      </c>
      <c r="J236" s="4" t="s">
        <v>228</v>
      </c>
      <c r="K236" s="4" t="s">
        <v>231</v>
      </c>
      <c r="L236" s="12" t="s">
        <v>232</v>
      </c>
      <c r="M236" s="12" t="s">
        <v>233</v>
      </c>
      <c r="N236" s="4" t="s">
        <v>336</v>
      </c>
      <c r="O236" s="9" t="s">
        <v>304</v>
      </c>
      <c r="P236" s="9" t="s">
        <v>305</v>
      </c>
      <c r="Q236" s="9" t="s">
        <v>306</v>
      </c>
      <c r="R236" s="9" t="s">
        <v>307</v>
      </c>
      <c r="Y236" s="10">
        <f>IF(S236="", "", IF(W236="Green", S236+30, IF(W236="Yellow", S236+7, IF(W236="Red", S236+2, ""))))</f>
        <v>0</v>
      </c>
      <c r="Z236" s="11">
        <f>IF(Y236="", "", (Y236-TODAY()) * 50 - V236 * 10 - G236 * 5 + IF(W236="Red", -20, IF(W236="Yellow", -10, 0)) - IFERROR(INDEX(Analytics!$F$5:$F$20, MATCH(C236, Analytics!$A$5:$A$20, 0)) * 5, 0) + MOD(A236, 7))</f>
        <v>0</v>
      </c>
    </row>
    <row r="237" spans="1:26">
      <c r="A237" s="11">
        <v>236</v>
      </c>
      <c r="B237" s="4" t="s">
        <v>597</v>
      </c>
      <c r="C237" s="12" t="s">
        <v>50</v>
      </c>
      <c r="D237" s="12" t="s">
        <v>50</v>
      </c>
      <c r="E237" s="12" t="s">
        <v>35</v>
      </c>
      <c r="F237" s="11">
        <v>40</v>
      </c>
      <c r="G237" s="11">
        <v>10</v>
      </c>
      <c r="H237" s="12" t="s">
        <v>117</v>
      </c>
      <c r="I237" s="12" t="s">
        <v>117</v>
      </c>
      <c r="J237" s="4" t="s">
        <v>220</v>
      </c>
      <c r="K237" s="4" t="s">
        <v>223</v>
      </c>
      <c r="L237" s="12" t="s">
        <v>224</v>
      </c>
      <c r="M237" s="12" t="s">
        <v>225</v>
      </c>
      <c r="N237" s="4" t="s">
        <v>421</v>
      </c>
      <c r="O237" s="9" t="s">
        <v>304</v>
      </c>
      <c r="P237" s="9" t="s">
        <v>305</v>
      </c>
      <c r="Q237" s="9" t="s">
        <v>306</v>
      </c>
      <c r="R237" s="9" t="s">
        <v>307</v>
      </c>
      <c r="Y237" s="10">
        <f>IF(S237="", "", IF(W237="Green", S237+30, IF(W237="Yellow", S237+7, IF(W237="Red", S237+2, ""))))</f>
        <v>0</v>
      </c>
      <c r="Z237" s="11">
        <f>IF(Y237="", "", (Y237-TODAY()) * 50 - V237 * 10 - G237 * 5 + IF(W237="Red", -20, IF(W237="Yellow", -10, 0)) - IFERROR(INDEX(Analytics!$F$5:$F$20, MATCH(C237, Analytics!$A$5:$A$20, 0)) * 5, 0) + MOD(A237, 7))</f>
        <v>0</v>
      </c>
    </row>
    <row r="238" spans="1:26">
      <c r="A238" s="11">
        <v>237</v>
      </c>
      <c r="B238" s="4" t="s">
        <v>598</v>
      </c>
      <c r="C238" s="12" t="s">
        <v>50</v>
      </c>
      <c r="D238" s="12" t="s">
        <v>50</v>
      </c>
      <c r="E238" s="12" t="s">
        <v>35</v>
      </c>
      <c r="F238" s="11">
        <v>40</v>
      </c>
      <c r="G238" s="11">
        <v>9</v>
      </c>
      <c r="H238" s="12" t="s">
        <v>150</v>
      </c>
      <c r="I238" s="12" t="s">
        <v>117</v>
      </c>
      <c r="J238" s="4" t="s">
        <v>220</v>
      </c>
      <c r="K238" s="4" t="s">
        <v>223</v>
      </c>
      <c r="L238" s="12" t="s">
        <v>224</v>
      </c>
      <c r="M238" s="12" t="s">
        <v>225</v>
      </c>
      <c r="N238" s="4" t="s">
        <v>397</v>
      </c>
      <c r="O238" s="9" t="s">
        <v>304</v>
      </c>
      <c r="P238" s="9" t="s">
        <v>305</v>
      </c>
      <c r="Q238" s="9" t="s">
        <v>306</v>
      </c>
      <c r="R238" s="9" t="s">
        <v>307</v>
      </c>
      <c r="Y238" s="10">
        <f>IF(S238="", "", IF(W238="Green", S238+30, IF(W238="Yellow", S238+7, IF(W238="Red", S238+2, ""))))</f>
        <v>0</v>
      </c>
      <c r="Z238" s="11">
        <f>IF(Y238="", "", (Y238-TODAY()) * 50 - V238 * 10 - G238 * 5 + IF(W238="Red", -20, IF(W238="Yellow", -10, 0)) - IFERROR(INDEX(Analytics!$F$5:$F$20, MATCH(C238, Analytics!$A$5:$A$20, 0)) * 5, 0) + MOD(A238, 7))</f>
        <v>0</v>
      </c>
    </row>
    <row r="239" spans="1:26">
      <c r="A239" s="11">
        <v>238</v>
      </c>
      <c r="B239" s="4" t="s">
        <v>599</v>
      </c>
      <c r="C239" s="12" t="s">
        <v>50</v>
      </c>
      <c r="D239" s="12" t="s">
        <v>50</v>
      </c>
      <c r="E239" s="12" t="s">
        <v>35</v>
      </c>
      <c r="F239" s="11">
        <v>40</v>
      </c>
      <c r="G239" s="11">
        <v>10</v>
      </c>
      <c r="H239" s="12" t="s">
        <v>117</v>
      </c>
      <c r="I239" s="12" t="s">
        <v>117</v>
      </c>
      <c r="J239" s="4" t="s">
        <v>220</v>
      </c>
      <c r="K239" s="4" t="s">
        <v>223</v>
      </c>
      <c r="L239" s="12" t="s">
        <v>224</v>
      </c>
      <c r="M239" s="12" t="s">
        <v>225</v>
      </c>
      <c r="N239" s="4" t="s">
        <v>477</v>
      </c>
      <c r="O239" s="9" t="s">
        <v>304</v>
      </c>
      <c r="P239" s="9" t="s">
        <v>305</v>
      </c>
      <c r="Q239" s="9" t="s">
        <v>306</v>
      </c>
      <c r="R239" s="9" t="s">
        <v>307</v>
      </c>
      <c r="Y239" s="10">
        <f>IF(S239="", "", IF(W239="Green", S239+30, IF(W239="Yellow", S239+7, IF(W239="Red", S239+2, ""))))</f>
        <v>0</v>
      </c>
      <c r="Z239" s="11">
        <f>IF(Y239="", "", (Y239-TODAY()) * 50 - V239 * 10 - G239 * 5 + IF(W239="Red", -20, IF(W239="Yellow", -10, 0)) - IFERROR(INDEX(Analytics!$F$5:$F$20, MATCH(C239, Analytics!$A$5:$A$20, 0)) * 5, 0) + MOD(A239, 7))</f>
        <v>0</v>
      </c>
    </row>
    <row r="240" spans="1:26">
      <c r="A240" s="11">
        <v>239</v>
      </c>
      <c r="B240" s="4" t="s">
        <v>600</v>
      </c>
      <c r="C240" s="12" t="s">
        <v>50</v>
      </c>
      <c r="D240" s="12" t="s">
        <v>50</v>
      </c>
      <c r="E240" s="12" t="s">
        <v>36</v>
      </c>
      <c r="F240" s="11">
        <v>60</v>
      </c>
      <c r="G240" s="11">
        <v>10</v>
      </c>
      <c r="H240" s="12" t="s">
        <v>117</v>
      </c>
      <c r="I240" s="12" t="s">
        <v>117</v>
      </c>
      <c r="J240" s="4" t="s">
        <v>220</v>
      </c>
      <c r="K240" s="4" t="s">
        <v>223</v>
      </c>
      <c r="L240" s="12" t="s">
        <v>224</v>
      </c>
      <c r="M240" s="12" t="s">
        <v>225</v>
      </c>
      <c r="N240" s="4" t="s">
        <v>404</v>
      </c>
      <c r="O240" s="9" t="s">
        <v>304</v>
      </c>
      <c r="P240" s="9" t="s">
        <v>305</v>
      </c>
      <c r="Q240" s="9" t="s">
        <v>306</v>
      </c>
      <c r="R240" s="9" t="s">
        <v>307</v>
      </c>
      <c r="Y240" s="10">
        <f>IF(S240="", "", IF(W240="Green", S240+30, IF(W240="Yellow", S240+7, IF(W240="Red", S240+2, ""))))</f>
        <v>0</v>
      </c>
      <c r="Z240" s="11">
        <f>IF(Y240="", "", (Y240-TODAY()) * 50 - V240 * 10 - G240 * 5 + IF(W240="Red", -20, IF(W240="Yellow", -10, 0)) - IFERROR(INDEX(Analytics!$F$5:$F$20, MATCH(C240, Analytics!$A$5:$A$20, 0)) * 5, 0) + MOD(A240, 7))</f>
        <v>0</v>
      </c>
    </row>
    <row r="241" spans="1:26">
      <c r="A241" s="11">
        <v>240</v>
      </c>
      <c r="B241" s="4" t="s">
        <v>601</v>
      </c>
      <c r="C241" s="12" t="s">
        <v>50</v>
      </c>
      <c r="D241" s="12" t="s">
        <v>50</v>
      </c>
      <c r="E241" s="12" t="s">
        <v>36</v>
      </c>
      <c r="F241" s="11">
        <v>60</v>
      </c>
      <c r="G241" s="11">
        <v>10</v>
      </c>
      <c r="H241" s="12" t="s">
        <v>117</v>
      </c>
      <c r="I241" s="12" t="s">
        <v>117</v>
      </c>
      <c r="J241" s="4" t="s">
        <v>220</v>
      </c>
      <c r="K241" s="4" t="s">
        <v>223</v>
      </c>
      <c r="L241" s="12" t="s">
        <v>224</v>
      </c>
      <c r="M241" s="12" t="s">
        <v>225</v>
      </c>
      <c r="N241" s="4" t="s">
        <v>315</v>
      </c>
      <c r="O241" s="9" t="s">
        <v>304</v>
      </c>
      <c r="P241" s="9" t="s">
        <v>305</v>
      </c>
      <c r="Q241" s="9" t="s">
        <v>306</v>
      </c>
      <c r="R241" s="9" t="s">
        <v>307</v>
      </c>
      <c r="Y241" s="10">
        <f>IF(S241="", "", IF(W241="Green", S241+30, IF(W241="Yellow", S241+7, IF(W241="Red", S241+2, ""))))</f>
        <v>0</v>
      </c>
      <c r="Z241" s="11">
        <f>IF(Y241="", "", (Y241-TODAY()) * 50 - V241 * 10 - G241 * 5 + IF(W241="Red", -20, IF(W241="Yellow", -10, 0)) - IFERROR(INDEX(Analytics!$F$5:$F$20, MATCH(C241, Analytics!$A$5:$A$20, 0)) * 5, 0) + MOD(A241, 7))</f>
        <v>0</v>
      </c>
    </row>
    <row r="242" spans="1:26">
      <c r="A242" s="11">
        <v>241</v>
      </c>
      <c r="B242" s="4" t="s">
        <v>602</v>
      </c>
      <c r="C242" s="12" t="s">
        <v>50</v>
      </c>
      <c r="D242" s="12" t="s">
        <v>50</v>
      </c>
      <c r="E242" s="12" t="s">
        <v>35</v>
      </c>
      <c r="F242" s="11">
        <v>40</v>
      </c>
      <c r="G242" s="11">
        <v>8</v>
      </c>
      <c r="H242" s="12" t="s">
        <v>150</v>
      </c>
      <c r="I242" s="12" t="s">
        <v>150</v>
      </c>
      <c r="J242" s="4" t="s">
        <v>220</v>
      </c>
      <c r="K242" s="4" t="s">
        <v>223</v>
      </c>
      <c r="L242" s="12" t="s">
        <v>224</v>
      </c>
      <c r="M242" s="12" t="s">
        <v>225</v>
      </c>
      <c r="N242" s="4" t="s">
        <v>338</v>
      </c>
      <c r="O242" s="9" t="s">
        <v>304</v>
      </c>
      <c r="P242" s="9" t="s">
        <v>305</v>
      </c>
      <c r="Q242" s="9" t="s">
        <v>306</v>
      </c>
      <c r="R242" s="9" t="s">
        <v>307</v>
      </c>
      <c r="Y242" s="10">
        <f>IF(S242="", "", IF(W242="Green", S242+30, IF(W242="Yellow", S242+7, IF(W242="Red", S242+2, ""))))</f>
        <v>0</v>
      </c>
      <c r="Z242" s="11">
        <f>IF(Y242="", "", (Y242-TODAY()) * 50 - V242 * 10 - G242 * 5 + IF(W242="Red", -20, IF(W242="Yellow", -10, 0)) - IFERROR(INDEX(Analytics!$F$5:$F$20, MATCH(C242, Analytics!$A$5:$A$20, 0)) * 5, 0) + MOD(A242, 7))</f>
        <v>0</v>
      </c>
    </row>
    <row r="243" spans="1:26">
      <c r="A243" s="11">
        <v>242</v>
      </c>
      <c r="B243" s="4" t="s">
        <v>603</v>
      </c>
      <c r="C243" s="12" t="s">
        <v>50</v>
      </c>
      <c r="D243" s="12" t="s">
        <v>50</v>
      </c>
      <c r="E243" s="12" t="s">
        <v>35</v>
      </c>
      <c r="F243" s="11">
        <v>40</v>
      </c>
      <c r="G243" s="11">
        <v>8</v>
      </c>
      <c r="H243" s="12" t="s">
        <v>150</v>
      </c>
      <c r="I243" s="12" t="s">
        <v>150</v>
      </c>
      <c r="J243" s="4" t="s">
        <v>220</v>
      </c>
      <c r="K243" s="4" t="s">
        <v>223</v>
      </c>
      <c r="L243" s="12" t="s">
        <v>224</v>
      </c>
      <c r="M243" s="12" t="s">
        <v>225</v>
      </c>
      <c r="N243" s="4" t="s">
        <v>499</v>
      </c>
      <c r="O243" s="9" t="s">
        <v>304</v>
      </c>
      <c r="P243" s="9" t="s">
        <v>305</v>
      </c>
      <c r="Q243" s="9" t="s">
        <v>306</v>
      </c>
      <c r="R243" s="9" t="s">
        <v>307</v>
      </c>
      <c r="Y243" s="10">
        <f>IF(S243="", "", IF(W243="Green", S243+30, IF(W243="Yellow", S243+7, IF(W243="Red", S243+2, ""))))</f>
        <v>0</v>
      </c>
      <c r="Z243" s="11">
        <f>IF(Y243="", "", (Y243-TODAY()) * 50 - V243 * 10 - G243 * 5 + IF(W243="Red", -20, IF(W243="Yellow", -10, 0)) - IFERROR(INDEX(Analytics!$F$5:$F$20, MATCH(C243, Analytics!$A$5:$A$20, 0)) * 5, 0) + MOD(A243, 7))</f>
        <v>0</v>
      </c>
    </row>
    <row r="244" spans="1:26">
      <c r="A244" s="11">
        <v>243</v>
      </c>
      <c r="B244" s="4" t="s">
        <v>604</v>
      </c>
      <c r="C244" s="12" t="s">
        <v>50</v>
      </c>
      <c r="D244" s="12" t="s">
        <v>50</v>
      </c>
      <c r="E244" s="12" t="s">
        <v>35</v>
      </c>
      <c r="F244" s="11">
        <v>40</v>
      </c>
      <c r="G244" s="11">
        <v>8</v>
      </c>
      <c r="H244" s="12" t="s">
        <v>317</v>
      </c>
      <c r="I244" s="12" t="s">
        <v>150</v>
      </c>
      <c r="J244" s="4" t="s">
        <v>220</v>
      </c>
      <c r="K244" s="4" t="s">
        <v>223</v>
      </c>
      <c r="L244" s="12" t="s">
        <v>224</v>
      </c>
      <c r="M244" s="12" t="s">
        <v>225</v>
      </c>
      <c r="N244" s="4" t="s">
        <v>324</v>
      </c>
      <c r="O244" s="9" t="s">
        <v>304</v>
      </c>
      <c r="P244" s="9" t="s">
        <v>305</v>
      </c>
      <c r="Q244" s="9" t="s">
        <v>306</v>
      </c>
      <c r="R244" s="9" t="s">
        <v>307</v>
      </c>
      <c r="Y244" s="10">
        <f>IF(S244="", "", IF(W244="Green", S244+30, IF(W244="Yellow", S244+7, IF(W244="Red", S244+2, ""))))</f>
        <v>0</v>
      </c>
      <c r="Z244" s="11">
        <f>IF(Y244="", "", (Y244-TODAY()) * 50 - V244 * 10 - G244 * 5 + IF(W244="Red", -20, IF(W244="Yellow", -10, 0)) - IFERROR(INDEX(Analytics!$F$5:$F$20, MATCH(C244, Analytics!$A$5:$A$20, 0)) * 5, 0) + MOD(A244, 7))</f>
        <v>0</v>
      </c>
    </row>
    <row r="245" spans="1:26">
      <c r="A245" s="11">
        <v>244</v>
      </c>
      <c r="B245" s="4" t="s">
        <v>605</v>
      </c>
      <c r="C245" s="12" t="s">
        <v>50</v>
      </c>
      <c r="D245" s="12" t="s">
        <v>50</v>
      </c>
      <c r="E245" s="12" t="s">
        <v>36</v>
      </c>
      <c r="F245" s="11">
        <v>60</v>
      </c>
      <c r="G245" s="11">
        <v>7</v>
      </c>
      <c r="H245" s="12" t="s">
        <v>606</v>
      </c>
      <c r="I245" s="12" t="s">
        <v>150</v>
      </c>
      <c r="J245" s="4" t="s">
        <v>220</v>
      </c>
      <c r="K245" s="4" t="s">
        <v>223</v>
      </c>
      <c r="L245" s="12" t="s">
        <v>224</v>
      </c>
      <c r="M245" s="12" t="s">
        <v>225</v>
      </c>
      <c r="N245" s="4" t="s">
        <v>328</v>
      </c>
      <c r="O245" s="9" t="s">
        <v>304</v>
      </c>
      <c r="P245" s="9" t="s">
        <v>305</v>
      </c>
      <c r="Q245" s="9" t="s">
        <v>306</v>
      </c>
      <c r="R245" s="9" t="s">
        <v>307</v>
      </c>
      <c r="Y245" s="10">
        <f>IF(S245="", "", IF(W245="Green", S245+30, IF(W245="Yellow", S245+7, IF(W245="Red", S245+2, ""))))</f>
        <v>0</v>
      </c>
      <c r="Z245" s="11">
        <f>IF(Y245="", "", (Y245-TODAY()) * 50 - V245 * 10 - G245 * 5 + IF(W245="Red", -20, IF(W245="Yellow", -10, 0)) - IFERROR(INDEX(Analytics!$F$5:$F$20, MATCH(C245, Analytics!$A$5:$A$20, 0)) * 5, 0) + MOD(A245, 7))</f>
        <v>0</v>
      </c>
    </row>
    <row r="246" spans="1:26">
      <c r="A246" s="11">
        <v>245</v>
      </c>
      <c r="B246" s="4" t="s">
        <v>607</v>
      </c>
      <c r="C246" s="12" t="s">
        <v>50</v>
      </c>
      <c r="D246" s="12" t="s">
        <v>50</v>
      </c>
      <c r="E246" s="12" t="s">
        <v>35</v>
      </c>
      <c r="F246" s="11">
        <v>40</v>
      </c>
      <c r="G246" s="11">
        <v>8</v>
      </c>
      <c r="H246" s="12" t="s">
        <v>150</v>
      </c>
      <c r="I246" s="12" t="s">
        <v>150</v>
      </c>
      <c r="J246" s="4" t="s">
        <v>220</v>
      </c>
      <c r="K246" s="4" t="s">
        <v>223</v>
      </c>
      <c r="L246" s="12" t="s">
        <v>224</v>
      </c>
      <c r="M246" s="12" t="s">
        <v>225</v>
      </c>
      <c r="N246" s="4" t="s">
        <v>436</v>
      </c>
      <c r="O246" s="9" t="s">
        <v>304</v>
      </c>
      <c r="P246" s="9" t="s">
        <v>305</v>
      </c>
      <c r="Q246" s="9" t="s">
        <v>306</v>
      </c>
      <c r="R246" s="9" t="s">
        <v>307</v>
      </c>
      <c r="Y246" s="10">
        <f>IF(S246="", "", IF(W246="Green", S246+30, IF(W246="Yellow", S246+7, IF(W246="Red", S246+2, ""))))</f>
        <v>0</v>
      </c>
      <c r="Z246" s="11">
        <f>IF(Y246="", "", (Y246-TODAY()) * 50 - V246 * 10 - G246 * 5 + IF(W246="Red", -20, IF(W246="Yellow", -10, 0)) - IFERROR(INDEX(Analytics!$F$5:$F$20, MATCH(C246, Analytics!$A$5:$A$20, 0)) * 5, 0) + MOD(A246, 7))</f>
        <v>0</v>
      </c>
    </row>
    <row r="247" spans="1:26">
      <c r="A247" s="11">
        <v>246</v>
      </c>
      <c r="B247" s="4" t="s">
        <v>608</v>
      </c>
      <c r="C247" s="12" t="s">
        <v>50</v>
      </c>
      <c r="D247" s="12" t="s">
        <v>50</v>
      </c>
      <c r="E247" s="12" t="s">
        <v>35</v>
      </c>
      <c r="F247" s="11">
        <v>40</v>
      </c>
      <c r="G247" s="11">
        <v>8</v>
      </c>
      <c r="H247" s="12" t="s">
        <v>317</v>
      </c>
      <c r="I247" s="12" t="s">
        <v>150</v>
      </c>
      <c r="J247" s="4" t="s">
        <v>220</v>
      </c>
      <c r="K247" s="4" t="s">
        <v>223</v>
      </c>
      <c r="L247" s="12" t="s">
        <v>224</v>
      </c>
      <c r="M247" s="12" t="s">
        <v>225</v>
      </c>
      <c r="N247" s="4" t="s">
        <v>352</v>
      </c>
      <c r="O247" s="9" t="s">
        <v>304</v>
      </c>
      <c r="P247" s="9" t="s">
        <v>305</v>
      </c>
      <c r="Q247" s="9" t="s">
        <v>306</v>
      </c>
      <c r="R247" s="9" t="s">
        <v>307</v>
      </c>
      <c r="Y247" s="10">
        <f>IF(S247="", "", IF(W247="Green", S247+30, IF(W247="Yellow", S247+7, IF(W247="Red", S247+2, ""))))</f>
        <v>0</v>
      </c>
      <c r="Z247" s="11">
        <f>IF(Y247="", "", (Y247-TODAY()) * 50 - V247 * 10 - G247 * 5 + IF(W247="Red", -20, IF(W247="Yellow", -10, 0)) - IFERROR(INDEX(Analytics!$F$5:$F$20, MATCH(C247, Analytics!$A$5:$A$20, 0)) * 5, 0) + MOD(A247, 7))</f>
        <v>0</v>
      </c>
    </row>
    <row r="248" spans="1:26">
      <c r="A248" s="11">
        <v>247</v>
      </c>
      <c r="B248" s="4" t="s">
        <v>609</v>
      </c>
      <c r="C248" s="12" t="s">
        <v>50</v>
      </c>
      <c r="D248" s="12" t="s">
        <v>50</v>
      </c>
      <c r="E248" s="12" t="s">
        <v>36</v>
      </c>
      <c r="F248" s="11">
        <v>60</v>
      </c>
      <c r="G248" s="11">
        <v>8</v>
      </c>
      <c r="H248" s="12" t="s">
        <v>317</v>
      </c>
      <c r="I248" s="12" t="s">
        <v>150</v>
      </c>
      <c r="J248" s="4" t="s">
        <v>220</v>
      </c>
      <c r="K248" s="4" t="s">
        <v>223</v>
      </c>
      <c r="L248" s="12" t="s">
        <v>224</v>
      </c>
      <c r="M248" s="12" t="s">
        <v>225</v>
      </c>
      <c r="N248" s="4" t="s">
        <v>336</v>
      </c>
      <c r="O248" s="9" t="s">
        <v>304</v>
      </c>
      <c r="P248" s="9" t="s">
        <v>305</v>
      </c>
      <c r="Q248" s="9" t="s">
        <v>306</v>
      </c>
      <c r="R248" s="9" t="s">
        <v>307</v>
      </c>
      <c r="Y248" s="10">
        <f>IF(S248="", "", IF(W248="Green", S248+30, IF(W248="Yellow", S248+7, IF(W248="Red", S248+2, ""))))</f>
        <v>0</v>
      </c>
      <c r="Z248" s="11">
        <f>IF(Y248="", "", (Y248-TODAY()) * 50 - V248 * 10 - G248 * 5 + IF(W248="Red", -20, IF(W248="Yellow", -10, 0)) - IFERROR(INDEX(Analytics!$F$5:$F$20, MATCH(C248, Analytics!$A$5:$A$20, 0)) * 5, 0) + MOD(A248, 7))</f>
        <v>0</v>
      </c>
    </row>
    <row r="249" spans="1:26">
      <c r="A249" s="11">
        <v>248</v>
      </c>
      <c r="B249" s="4" t="s">
        <v>610</v>
      </c>
      <c r="C249" s="12" t="s">
        <v>94</v>
      </c>
      <c r="D249" s="12" t="s">
        <v>40</v>
      </c>
      <c r="E249" s="12" t="s">
        <v>34</v>
      </c>
      <c r="F249" s="11">
        <v>20</v>
      </c>
      <c r="G249" s="11">
        <v>10</v>
      </c>
      <c r="H249" s="12" t="s">
        <v>117</v>
      </c>
      <c r="I249" s="12" t="s">
        <v>117</v>
      </c>
      <c r="J249" s="4" t="s">
        <v>236</v>
      </c>
      <c r="K249" s="4" t="s">
        <v>239</v>
      </c>
      <c r="L249" s="12" t="s">
        <v>232</v>
      </c>
      <c r="M249" s="12" t="s">
        <v>240</v>
      </c>
      <c r="N249" s="4" t="s">
        <v>421</v>
      </c>
      <c r="O249" s="9" t="s">
        <v>304</v>
      </c>
      <c r="P249" s="9" t="s">
        <v>305</v>
      </c>
      <c r="Q249" s="9" t="s">
        <v>306</v>
      </c>
      <c r="R249" s="9" t="s">
        <v>307</v>
      </c>
      <c r="Y249" s="10">
        <f>IF(S249="", "", IF(W249="Green", S249+30, IF(W249="Yellow", S249+7, IF(W249="Red", S249+2, ""))))</f>
        <v>0</v>
      </c>
      <c r="Z249" s="11">
        <f>IF(Y249="", "", (Y249-TODAY()) * 50 - V249 * 10 - G249 * 5 + IF(W249="Red", -20, IF(W249="Yellow", -10, 0)) - IFERROR(INDEX(Analytics!$F$5:$F$20, MATCH(C249, Analytics!$A$5:$A$20, 0)) * 5, 0) + MOD(A249, 7))</f>
        <v>0</v>
      </c>
    </row>
    <row r="250" spans="1:26">
      <c r="A250" s="11">
        <v>249</v>
      </c>
      <c r="B250" s="4" t="s">
        <v>611</v>
      </c>
      <c r="C250" s="12" t="s">
        <v>94</v>
      </c>
      <c r="D250" s="12" t="s">
        <v>46</v>
      </c>
      <c r="E250" s="12" t="s">
        <v>34</v>
      </c>
      <c r="F250" s="11">
        <v>20</v>
      </c>
      <c r="G250" s="11">
        <v>10</v>
      </c>
      <c r="H250" s="12" t="s">
        <v>117</v>
      </c>
      <c r="I250" s="12" t="s">
        <v>117</v>
      </c>
      <c r="J250" s="4" t="s">
        <v>228</v>
      </c>
      <c r="K250" s="4" t="s">
        <v>231</v>
      </c>
      <c r="L250" s="12" t="s">
        <v>232</v>
      </c>
      <c r="M250" s="12" t="s">
        <v>233</v>
      </c>
      <c r="N250" s="4" t="s">
        <v>612</v>
      </c>
      <c r="O250" s="9" t="s">
        <v>304</v>
      </c>
      <c r="P250" s="9" t="s">
        <v>305</v>
      </c>
      <c r="Q250" s="9" t="s">
        <v>306</v>
      </c>
      <c r="R250" s="9" t="s">
        <v>307</v>
      </c>
      <c r="Y250" s="10">
        <f>IF(S250="", "", IF(W250="Green", S250+30, IF(W250="Yellow", S250+7, IF(W250="Red", S250+2, ""))))</f>
        <v>0</v>
      </c>
      <c r="Z250" s="11">
        <f>IF(Y250="", "", (Y250-TODAY()) * 50 - V250 * 10 - G250 * 5 + IF(W250="Red", -20, IF(W250="Yellow", -10, 0)) - IFERROR(INDEX(Analytics!$F$5:$F$20, MATCH(C250, Analytics!$A$5:$A$20, 0)) * 5, 0) + MOD(A250, 7))</f>
        <v>0</v>
      </c>
    </row>
    <row r="251" spans="1:26">
      <c r="A251" s="11">
        <v>250</v>
      </c>
      <c r="B251" s="4" t="s">
        <v>613</v>
      </c>
      <c r="C251" s="12" t="s">
        <v>94</v>
      </c>
      <c r="D251" s="12" t="s">
        <v>46</v>
      </c>
      <c r="E251" s="12" t="s">
        <v>35</v>
      </c>
      <c r="F251" s="11">
        <v>40</v>
      </c>
      <c r="G251" s="11">
        <v>10</v>
      </c>
      <c r="H251" s="12" t="s">
        <v>117</v>
      </c>
      <c r="I251" s="12" t="s">
        <v>117</v>
      </c>
      <c r="J251" s="4" t="s">
        <v>228</v>
      </c>
      <c r="K251" s="4" t="s">
        <v>231</v>
      </c>
      <c r="L251" s="12" t="s">
        <v>232</v>
      </c>
      <c r="M251" s="12" t="s">
        <v>233</v>
      </c>
      <c r="N251" s="4" t="s">
        <v>614</v>
      </c>
      <c r="O251" s="9" t="s">
        <v>304</v>
      </c>
      <c r="P251" s="9" t="s">
        <v>305</v>
      </c>
      <c r="Q251" s="9" t="s">
        <v>306</v>
      </c>
      <c r="R251" s="9" t="s">
        <v>307</v>
      </c>
      <c r="Y251" s="10">
        <f>IF(S251="", "", IF(W251="Green", S251+30, IF(W251="Yellow", S251+7, IF(W251="Red", S251+2, ""))))</f>
        <v>0</v>
      </c>
      <c r="Z251" s="11">
        <f>IF(Y251="", "", (Y251-TODAY()) * 50 - V251 * 10 - G251 * 5 + IF(W251="Red", -20, IF(W251="Yellow", -10, 0)) - IFERROR(INDEX(Analytics!$F$5:$F$20, MATCH(C251, Analytics!$A$5:$A$20, 0)) * 5, 0) + MOD(A251, 7))</f>
        <v>0</v>
      </c>
    </row>
    <row r="252" spans="1:26">
      <c r="A252" s="11">
        <v>251</v>
      </c>
      <c r="B252" s="4" t="s">
        <v>615</v>
      </c>
      <c r="C252" s="12" t="s">
        <v>94</v>
      </c>
      <c r="D252" s="12" t="s">
        <v>40</v>
      </c>
      <c r="E252" s="12" t="s">
        <v>35</v>
      </c>
      <c r="F252" s="11">
        <v>40</v>
      </c>
      <c r="G252" s="11">
        <v>9</v>
      </c>
      <c r="H252" s="12" t="s">
        <v>117</v>
      </c>
      <c r="I252" s="12" t="s">
        <v>117</v>
      </c>
      <c r="J252" s="4" t="s">
        <v>236</v>
      </c>
      <c r="K252" s="4" t="s">
        <v>239</v>
      </c>
      <c r="L252" s="12" t="s">
        <v>232</v>
      </c>
      <c r="M252" s="12" t="s">
        <v>240</v>
      </c>
      <c r="N252" s="4" t="s">
        <v>315</v>
      </c>
      <c r="O252" s="9" t="s">
        <v>304</v>
      </c>
      <c r="P252" s="9" t="s">
        <v>305</v>
      </c>
      <c r="Q252" s="9" t="s">
        <v>306</v>
      </c>
      <c r="R252" s="9" t="s">
        <v>307</v>
      </c>
      <c r="Y252" s="10">
        <f>IF(S252="", "", IF(W252="Green", S252+30, IF(W252="Yellow", S252+7, IF(W252="Red", S252+2, ""))))</f>
        <v>0</v>
      </c>
      <c r="Z252" s="11">
        <f>IF(Y252="", "", (Y252-TODAY()) * 50 - V252 * 10 - G252 * 5 + IF(W252="Red", -20, IF(W252="Yellow", -10, 0)) - IFERROR(INDEX(Analytics!$F$5:$F$20, MATCH(C252, Analytics!$A$5:$A$20, 0)) * 5, 0) + MOD(A252, 7))</f>
        <v>0</v>
      </c>
    </row>
    <row r="253" spans="1:26">
      <c r="A253" s="11">
        <v>252</v>
      </c>
      <c r="B253" s="4" t="s">
        <v>616</v>
      </c>
      <c r="C253" s="12" t="s">
        <v>94</v>
      </c>
      <c r="D253" s="12" t="s">
        <v>46</v>
      </c>
      <c r="E253" s="12" t="s">
        <v>35</v>
      </c>
      <c r="F253" s="11">
        <v>40</v>
      </c>
      <c r="G253" s="11">
        <v>10</v>
      </c>
      <c r="H253" s="12" t="s">
        <v>117</v>
      </c>
      <c r="I253" s="12" t="s">
        <v>117</v>
      </c>
      <c r="J253" s="4" t="s">
        <v>228</v>
      </c>
      <c r="K253" s="4" t="s">
        <v>231</v>
      </c>
      <c r="L253" s="12" t="s">
        <v>232</v>
      </c>
      <c r="M253" s="12" t="s">
        <v>233</v>
      </c>
      <c r="N253" s="4" t="s">
        <v>324</v>
      </c>
      <c r="O253" s="9" t="s">
        <v>304</v>
      </c>
      <c r="P253" s="9" t="s">
        <v>305</v>
      </c>
      <c r="Q253" s="9" t="s">
        <v>306</v>
      </c>
      <c r="R253" s="9" t="s">
        <v>307</v>
      </c>
      <c r="Y253" s="10">
        <f>IF(S253="", "", IF(W253="Green", S253+30, IF(W253="Yellow", S253+7, IF(W253="Red", S253+2, ""))))</f>
        <v>0</v>
      </c>
      <c r="Z253" s="11">
        <f>IF(Y253="", "", (Y253-TODAY()) * 50 - V253 * 10 - G253 * 5 + IF(W253="Red", -20, IF(W253="Yellow", -10, 0)) - IFERROR(INDEX(Analytics!$F$5:$F$20, MATCH(C253, Analytics!$A$5:$A$20, 0)) * 5, 0) + MOD(A253, 7))</f>
        <v>0</v>
      </c>
    </row>
    <row r="254" spans="1:26">
      <c r="A254" s="11">
        <v>253</v>
      </c>
      <c r="B254" s="4" t="s">
        <v>617</v>
      </c>
      <c r="C254" s="12" t="s">
        <v>94</v>
      </c>
      <c r="D254" s="12" t="s">
        <v>40</v>
      </c>
      <c r="E254" s="12" t="s">
        <v>35</v>
      </c>
      <c r="F254" s="11">
        <v>40</v>
      </c>
      <c r="G254" s="11">
        <v>9</v>
      </c>
      <c r="H254" s="12" t="s">
        <v>150</v>
      </c>
      <c r="I254" s="12" t="s">
        <v>117</v>
      </c>
      <c r="J254" s="4" t="s">
        <v>236</v>
      </c>
      <c r="K254" s="4" t="s">
        <v>239</v>
      </c>
      <c r="L254" s="12" t="s">
        <v>232</v>
      </c>
      <c r="M254" s="12" t="s">
        <v>240</v>
      </c>
      <c r="N254" s="4" t="s">
        <v>338</v>
      </c>
      <c r="O254" s="9" t="s">
        <v>304</v>
      </c>
      <c r="P254" s="9" t="s">
        <v>305</v>
      </c>
      <c r="Q254" s="9" t="s">
        <v>306</v>
      </c>
      <c r="R254" s="9" t="s">
        <v>307</v>
      </c>
      <c r="Y254" s="10">
        <f>IF(S254="", "", IF(W254="Green", S254+30, IF(W254="Yellow", S254+7, IF(W254="Red", S254+2, ""))))</f>
        <v>0</v>
      </c>
      <c r="Z254" s="11">
        <f>IF(Y254="", "", (Y254-TODAY()) * 50 - V254 * 10 - G254 * 5 + IF(W254="Red", -20, IF(W254="Yellow", -10, 0)) - IFERROR(INDEX(Analytics!$F$5:$F$20, MATCH(C254, Analytics!$A$5:$A$20, 0)) * 5, 0) + MOD(A254, 7))</f>
        <v>0</v>
      </c>
    </row>
    <row r="255" spans="1:26">
      <c r="A255" s="11">
        <v>254</v>
      </c>
      <c r="B255" s="4" t="s">
        <v>618</v>
      </c>
      <c r="C255" s="12" t="s">
        <v>94</v>
      </c>
      <c r="D255" s="12" t="s">
        <v>46</v>
      </c>
      <c r="E255" s="12" t="s">
        <v>35</v>
      </c>
      <c r="F255" s="11">
        <v>40</v>
      </c>
      <c r="G255" s="11">
        <v>8</v>
      </c>
      <c r="H255" s="12" t="s">
        <v>317</v>
      </c>
      <c r="I255" s="12" t="s">
        <v>150</v>
      </c>
      <c r="J255" s="4" t="s">
        <v>228</v>
      </c>
      <c r="K255" s="4" t="s">
        <v>231</v>
      </c>
      <c r="L255" s="12" t="s">
        <v>232</v>
      </c>
      <c r="M255" s="12" t="s">
        <v>233</v>
      </c>
      <c r="N255" s="4" t="s">
        <v>324</v>
      </c>
      <c r="O255" s="9" t="s">
        <v>304</v>
      </c>
      <c r="P255" s="9" t="s">
        <v>305</v>
      </c>
      <c r="Q255" s="9" t="s">
        <v>306</v>
      </c>
      <c r="R255" s="9" t="s">
        <v>307</v>
      </c>
      <c r="Y255" s="10">
        <f>IF(S255="", "", IF(W255="Green", S255+30, IF(W255="Yellow", S255+7, IF(W255="Red", S255+2, ""))))</f>
        <v>0</v>
      </c>
      <c r="Z255" s="11">
        <f>IF(Y255="", "", (Y255-TODAY()) * 50 - V255 * 10 - G255 * 5 + IF(W255="Red", -20, IF(W255="Yellow", -10, 0)) - IFERROR(INDEX(Analytics!$F$5:$F$20, MATCH(C255, Analytics!$A$5:$A$20, 0)) * 5, 0) + MOD(A255, 7))</f>
        <v>0</v>
      </c>
    </row>
    <row r="256" spans="1:26">
      <c r="A256" s="11">
        <v>255</v>
      </c>
      <c r="B256" s="4" t="s">
        <v>619</v>
      </c>
      <c r="C256" s="12" t="s">
        <v>94</v>
      </c>
      <c r="D256" s="12" t="s">
        <v>64</v>
      </c>
      <c r="E256" s="12" t="s">
        <v>35</v>
      </c>
      <c r="F256" s="11">
        <v>40</v>
      </c>
      <c r="G256" s="11">
        <v>9</v>
      </c>
      <c r="H256" s="12" t="s">
        <v>150</v>
      </c>
      <c r="I256" s="12" t="s">
        <v>117</v>
      </c>
      <c r="J256" s="4" t="s">
        <v>249</v>
      </c>
      <c r="K256" s="4" t="s">
        <v>252</v>
      </c>
      <c r="L256" s="12" t="s">
        <v>253</v>
      </c>
      <c r="M256" s="12" t="s">
        <v>131</v>
      </c>
      <c r="N256" s="4" t="s">
        <v>328</v>
      </c>
      <c r="O256" s="9" t="s">
        <v>304</v>
      </c>
      <c r="P256" s="9" t="s">
        <v>305</v>
      </c>
      <c r="Q256" s="9" t="s">
        <v>306</v>
      </c>
      <c r="R256" s="9" t="s">
        <v>307</v>
      </c>
      <c r="Y256" s="10">
        <f>IF(S256="", "", IF(W256="Green", S256+30, IF(W256="Yellow", S256+7, IF(W256="Red", S256+2, ""))))</f>
        <v>0</v>
      </c>
      <c r="Z256" s="11">
        <f>IF(Y256="", "", (Y256-TODAY()) * 50 - V256 * 10 - G256 * 5 + IF(W256="Red", -20, IF(W256="Yellow", -10, 0)) - IFERROR(INDEX(Analytics!$F$5:$F$20, MATCH(C256, Analytics!$A$5:$A$20, 0)) * 5, 0) + MOD(A256, 7))</f>
        <v>0</v>
      </c>
    </row>
    <row r="257" spans="1:26">
      <c r="A257" s="11">
        <v>256</v>
      </c>
      <c r="B257" s="4" t="s">
        <v>620</v>
      </c>
      <c r="C257" s="12" t="s">
        <v>94</v>
      </c>
      <c r="D257" s="12" t="s">
        <v>64</v>
      </c>
      <c r="E257" s="12" t="s">
        <v>35</v>
      </c>
      <c r="F257" s="11">
        <v>40</v>
      </c>
      <c r="G257" s="11">
        <v>8</v>
      </c>
      <c r="H257" s="12" t="s">
        <v>150</v>
      </c>
      <c r="I257" s="12" t="s">
        <v>150</v>
      </c>
      <c r="J257" s="4" t="s">
        <v>249</v>
      </c>
      <c r="K257" s="4" t="s">
        <v>252</v>
      </c>
      <c r="L257" s="12" t="s">
        <v>253</v>
      </c>
      <c r="M257" s="12" t="s">
        <v>131</v>
      </c>
      <c r="N257" s="4" t="s">
        <v>621</v>
      </c>
      <c r="O257" s="9" t="s">
        <v>304</v>
      </c>
      <c r="P257" s="9" t="s">
        <v>305</v>
      </c>
      <c r="Q257" s="9" t="s">
        <v>306</v>
      </c>
      <c r="R257" s="9" t="s">
        <v>307</v>
      </c>
      <c r="Y257" s="10">
        <f>IF(S257="", "", IF(W257="Green", S257+30, IF(W257="Yellow", S257+7, IF(W257="Red", S257+2, ""))))</f>
        <v>0</v>
      </c>
      <c r="Z257" s="11">
        <f>IF(Y257="", "", (Y257-TODAY()) * 50 - V257 * 10 - G257 * 5 + IF(W257="Red", -20, IF(W257="Yellow", -10, 0)) - IFERROR(INDEX(Analytics!$F$5:$F$20, MATCH(C257, Analytics!$A$5:$A$20, 0)) * 5, 0) + MOD(A257, 7))</f>
        <v>0</v>
      </c>
    </row>
    <row r="258" spans="1:26">
      <c r="A258" s="11">
        <v>257</v>
      </c>
      <c r="B258" s="4" t="s">
        <v>622</v>
      </c>
      <c r="C258" s="12" t="s">
        <v>94</v>
      </c>
      <c r="D258" s="12" t="s">
        <v>64</v>
      </c>
      <c r="E258" s="12" t="s">
        <v>35</v>
      </c>
      <c r="F258" s="11">
        <v>40</v>
      </c>
      <c r="G258" s="11">
        <v>8</v>
      </c>
      <c r="H258" s="12" t="s">
        <v>150</v>
      </c>
      <c r="I258" s="12" t="s">
        <v>150</v>
      </c>
      <c r="J258" s="4" t="s">
        <v>249</v>
      </c>
      <c r="K258" s="4" t="s">
        <v>252</v>
      </c>
      <c r="L258" s="12" t="s">
        <v>253</v>
      </c>
      <c r="M258" s="12" t="s">
        <v>131</v>
      </c>
      <c r="N258" s="4" t="s">
        <v>436</v>
      </c>
      <c r="O258" s="9" t="s">
        <v>304</v>
      </c>
      <c r="P258" s="9" t="s">
        <v>305</v>
      </c>
      <c r="Q258" s="9" t="s">
        <v>306</v>
      </c>
      <c r="R258" s="9" t="s">
        <v>307</v>
      </c>
      <c r="Y258" s="10">
        <f>IF(S258="", "", IF(W258="Green", S258+30, IF(W258="Yellow", S258+7, IF(W258="Red", S258+2, ""))))</f>
        <v>0</v>
      </c>
      <c r="Z258" s="11">
        <f>IF(Y258="", "", (Y258-TODAY()) * 50 - V258 * 10 - G258 * 5 + IF(W258="Red", -20, IF(W258="Yellow", -10, 0)) - IFERROR(INDEX(Analytics!$F$5:$F$20, MATCH(C258, Analytics!$A$5:$A$20, 0)) * 5, 0) + MOD(A258, 7))</f>
        <v>0</v>
      </c>
    </row>
    <row r="259" spans="1:26">
      <c r="A259" s="11">
        <v>258</v>
      </c>
      <c r="B259" s="4" t="s">
        <v>623</v>
      </c>
      <c r="C259" s="12" t="s">
        <v>94</v>
      </c>
      <c r="D259" s="12" t="s">
        <v>40</v>
      </c>
      <c r="E259" s="12" t="s">
        <v>36</v>
      </c>
      <c r="F259" s="11">
        <v>60</v>
      </c>
      <c r="G259" s="11">
        <v>10</v>
      </c>
      <c r="H259" s="12" t="s">
        <v>117</v>
      </c>
      <c r="I259" s="12" t="s">
        <v>117</v>
      </c>
      <c r="J259" s="4" t="s">
        <v>236</v>
      </c>
      <c r="K259" s="4" t="s">
        <v>239</v>
      </c>
      <c r="L259" s="12" t="s">
        <v>232</v>
      </c>
      <c r="M259" s="12" t="s">
        <v>240</v>
      </c>
      <c r="N259" s="4" t="s">
        <v>352</v>
      </c>
      <c r="O259" s="9" t="s">
        <v>304</v>
      </c>
      <c r="P259" s="9" t="s">
        <v>305</v>
      </c>
      <c r="Q259" s="9" t="s">
        <v>306</v>
      </c>
      <c r="R259" s="9" t="s">
        <v>307</v>
      </c>
      <c r="Y259" s="10">
        <f>IF(S259="", "", IF(W259="Green", S259+30, IF(W259="Yellow", S259+7, IF(W259="Red", S259+2, ""))))</f>
        <v>0</v>
      </c>
      <c r="Z259" s="11">
        <f>IF(Y259="", "", (Y259-TODAY()) * 50 - V259 * 10 - G259 * 5 + IF(W259="Red", -20, IF(W259="Yellow", -10, 0)) - IFERROR(INDEX(Analytics!$F$5:$F$20, MATCH(C259, Analytics!$A$5:$A$20, 0)) * 5, 0) + MOD(A259, 7))</f>
        <v>0</v>
      </c>
    </row>
    <row r="260" spans="1:26">
      <c r="A260" s="11">
        <v>259</v>
      </c>
      <c r="B260" s="4" t="s">
        <v>624</v>
      </c>
      <c r="C260" s="12" t="s">
        <v>94</v>
      </c>
      <c r="D260" s="12" t="s">
        <v>40</v>
      </c>
      <c r="E260" s="12" t="s">
        <v>35</v>
      </c>
      <c r="F260" s="11">
        <v>40</v>
      </c>
      <c r="G260" s="11">
        <v>10</v>
      </c>
      <c r="H260" s="12" t="s">
        <v>117</v>
      </c>
      <c r="I260" s="12" t="s">
        <v>117</v>
      </c>
      <c r="J260" s="4" t="s">
        <v>236</v>
      </c>
      <c r="K260" s="4" t="s">
        <v>239</v>
      </c>
      <c r="L260" s="12" t="s">
        <v>232</v>
      </c>
      <c r="M260" s="12" t="s">
        <v>240</v>
      </c>
      <c r="N260" s="4" t="s">
        <v>332</v>
      </c>
      <c r="O260" s="9" t="s">
        <v>304</v>
      </c>
      <c r="P260" s="9" t="s">
        <v>305</v>
      </c>
      <c r="Q260" s="9" t="s">
        <v>306</v>
      </c>
      <c r="R260" s="9" t="s">
        <v>307</v>
      </c>
      <c r="Y260" s="10">
        <f>IF(S260="", "", IF(W260="Green", S260+30, IF(W260="Yellow", S260+7, IF(W260="Red", S260+2, ""))))</f>
        <v>0</v>
      </c>
      <c r="Z260" s="11">
        <f>IF(Y260="", "", (Y260-TODAY()) * 50 - V260 * 10 - G260 * 5 + IF(W260="Red", -20, IF(W260="Yellow", -10, 0)) - IFERROR(INDEX(Analytics!$F$5:$F$20, MATCH(C260, Analytics!$A$5:$A$20, 0)) * 5, 0) + MOD(A260, 7))</f>
        <v>0</v>
      </c>
    </row>
    <row r="261" spans="1:26">
      <c r="A261" s="11">
        <v>260</v>
      </c>
      <c r="B261" s="4" t="s">
        <v>625</v>
      </c>
      <c r="C261" s="12" t="s">
        <v>94</v>
      </c>
      <c r="D261" s="12" t="s">
        <v>64</v>
      </c>
      <c r="E261" s="12" t="s">
        <v>35</v>
      </c>
      <c r="F261" s="11">
        <v>40</v>
      </c>
      <c r="G261" s="11">
        <v>9</v>
      </c>
      <c r="H261" s="12" t="s">
        <v>117</v>
      </c>
      <c r="I261" s="12" t="s">
        <v>117</v>
      </c>
      <c r="J261" s="4" t="s">
        <v>249</v>
      </c>
      <c r="K261" s="4" t="s">
        <v>252</v>
      </c>
      <c r="L261" s="12" t="s">
        <v>253</v>
      </c>
      <c r="M261" s="12" t="s">
        <v>131</v>
      </c>
      <c r="N261" s="4" t="s">
        <v>336</v>
      </c>
      <c r="O261" s="9" t="s">
        <v>304</v>
      </c>
      <c r="P261" s="9" t="s">
        <v>305</v>
      </c>
      <c r="Q261" s="9" t="s">
        <v>306</v>
      </c>
      <c r="R261" s="9" t="s">
        <v>307</v>
      </c>
      <c r="Y261" s="10">
        <f>IF(S261="", "", IF(W261="Green", S261+30, IF(W261="Yellow", S261+7, IF(W261="Red", S261+2, ""))))</f>
        <v>0</v>
      </c>
      <c r="Z261" s="11">
        <f>IF(Y261="", "", (Y261-TODAY()) * 50 - V261 * 10 - G261 * 5 + IF(W261="Red", -20, IF(W261="Yellow", -10, 0)) - IFERROR(INDEX(Analytics!$F$5:$F$20, MATCH(C261, Analytics!$A$5:$A$20, 0)) * 5, 0) + MOD(A261, 7))</f>
        <v>0</v>
      </c>
    </row>
    <row r="262" spans="1:26">
      <c r="A262" s="11">
        <v>261</v>
      </c>
      <c r="B262" s="4" t="s">
        <v>626</v>
      </c>
      <c r="C262" s="12" t="s">
        <v>94</v>
      </c>
      <c r="D262" s="12" t="s">
        <v>40</v>
      </c>
      <c r="E262" s="12" t="s">
        <v>35</v>
      </c>
      <c r="F262" s="11">
        <v>40</v>
      </c>
      <c r="G262" s="11">
        <v>9</v>
      </c>
      <c r="H262" s="12" t="s">
        <v>150</v>
      </c>
      <c r="I262" s="12" t="s">
        <v>117</v>
      </c>
      <c r="J262" s="4" t="s">
        <v>236</v>
      </c>
      <c r="K262" s="4" t="s">
        <v>239</v>
      </c>
      <c r="L262" s="12" t="s">
        <v>232</v>
      </c>
      <c r="M262" s="12" t="s">
        <v>240</v>
      </c>
      <c r="N262" s="4" t="s">
        <v>362</v>
      </c>
      <c r="O262" s="9" t="s">
        <v>304</v>
      </c>
      <c r="P262" s="9" t="s">
        <v>305</v>
      </c>
      <c r="Q262" s="9" t="s">
        <v>306</v>
      </c>
      <c r="R262" s="9" t="s">
        <v>307</v>
      </c>
      <c r="Y262" s="10">
        <f>IF(S262="", "", IF(W262="Green", S262+30, IF(W262="Yellow", S262+7, IF(W262="Red", S262+2, ""))))</f>
        <v>0</v>
      </c>
      <c r="Z262" s="11">
        <f>IF(Y262="", "", (Y262-TODAY()) * 50 - V262 * 10 - G262 * 5 + IF(W262="Red", -20, IF(W262="Yellow", -10, 0)) - IFERROR(INDEX(Analytics!$F$5:$F$20, MATCH(C262, Analytics!$A$5:$A$20, 0)) * 5, 0) + MOD(A262, 7))</f>
        <v>0</v>
      </c>
    </row>
    <row r="263" spans="1:26">
      <c r="A263" s="11">
        <v>262</v>
      </c>
      <c r="B263" s="4" t="s">
        <v>627</v>
      </c>
      <c r="C263" s="12" t="s">
        <v>94</v>
      </c>
      <c r="D263" s="12" t="s">
        <v>46</v>
      </c>
      <c r="E263" s="12" t="s">
        <v>35</v>
      </c>
      <c r="F263" s="11">
        <v>40</v>
      </c>
      <c r="G263" s="11">
        <v>9</v>
      </c>
      <c r="H263" s="12" t="s">
        <v>150</v>
      </c>
      <c r="I263" s="12" t="s">
        <v>117</v>
      </c>
      <c r="J263" s="4" t="s">
        <v>228</v>
      </c>
      <c r="K263" s="4" t="s">
        <v>231</v>
      </c>
      <c r="L263" s="12" t="s">
        <v>232</v>
      </c>
      <c r="M263" s="12" t="s">
        <v>233</v>
      </c>
      <c r="N263" s="4" t="s">
        <v>336</v>
      </c>
      <c r="O263" s="9" t="s">
        <v>304</v>
      </c>
      <c r="P263" s="9" t="s">
        <v>305</v>
      </c>
      <c r="Q263" s="9" t="s">
        <v>306</v>
      </c>
      <c r="R263" s="9" t="s">
        <v>307</v>
      </c>
      <c r="Y263" s="10">
        <f>IF(S263="", "", IF(W263="Green", S263+30, IF(W263="Yellow", S263+7, IF(W263="Red", S263+2, ""))))</f>
        <v>0</v>
      </c>
      <c r="Z263" s="11">
        <f>IF(Y263="", "", (Y263-TODAY()) * 50 - V263 * 10 - G263 * 5 + IF(W263="Red", -20, IF(W263="Yellow", -10, 0)) - IFERROR(INDEX(Analytics!$F$5:$F$20, MATCH(C263, Analytics!$A$5:$A$20, 0)) * 5, 0) + MOD(A263, 7))</f>
        <v>0</v>
      </c>
    </row>
    <row r="264" spans="1:26">
      <c r="A264" s="11">
        <v>263</v>
      </c>
      <c r="B264" s="4" t="s">
        <v>628</v>
      </c>
      <c r="C264" s="12" t="s">
        <v>94</v>
      </c>
      <c r="D264" s="12" t="s">
        <v>46</v>
      </c>
      <c r="E264" s="12" t="s">
        <v>35</v>
      </c>
      <c r="F264" s="11">
        <v>40</v>
      </c>
      <c r="G264" s="11">
        <v>9</v>
      </c>
      <c r="H264" s="12" t="s">
        <v>150</v>
      </c>
      <c r="I264" s="12" t="s">
        <v>117</v>
      </c>
      <c r="J264" s="4" t="s">
        <v>228</v>
      </c>
      <c r="K264" s="4" t="s">
        <v>231</v>
      </c>
      <c r="L264" s="12" t="s">
        <v>232</v>
      </c>
      <c r="M264" s="12" t="s">
        <v>233</v>
      </c>
      <c r="N264" s="4" t="s">
        <v>324</v>
      </c>
      <c r="O264" s="9" t="s">
        <v>304</v>
      </c>
      <c r="P264" s="9" t="s">
        <v>305</v>
      </c>
      <c r="Q264" s="9" t="s">
        <v>306</v>
      </c>
      <c r="R264" s="9" t="s">
        <v>307</v>
      </c>
      <c r="Y264" s="10">
        <f>IF(S264="", "", IF(W264="Green", S264+30, IF(W264="Yellow", S264+7, IF(W264="Red", S264+2, ""))))</f>
        <v>0</v>
      </c>
      <c r="Z264" s="11">
        <f>IF(Y264="", "", (Y264-TODAY()) * 50 - V264 * 10 - G264 * 5 + IF(W264="Red", -20, IF(W264="Yellow", -10, 0)) - IFERROR(INDEX(Analytics!$F$5:$F$20, MATCH(C264, Analytics!$A$5:$A$20, 0)) * 5, 0) + MOD(A264, 7))</f>
        <v>0</v>
      </c>
    </row>
    <row r="265" spans="1:26">
      <c r="A265" s="11">
        <v>264</v>
      </c>
      <c r="B265" s="4" t="s">
        <v>629</v>
      </c>
      <c r="C265" s="12" t="s">
        <v>94</v>
      </c>
      <c r="D265" s="12" t="s">
        <v>40</v>
      </c>
      <c r="E265" s="12" t="s">
        <v>35</v>
      </c>
      <c r="F265" s="11">
        <v>40</v>
      </c>
      <c r="G265" s="11">
        <v>8</v>
      </c>
      <c r="H265" s="12" t="s">
        <v>317</v>
      </c>
      <c r="I265" s="12" t="s">
        <v>150</v>
      </c>
      <c r="J265" s="4" t="s">
        <v>236</v>
      </c>
      <c r="K265" s="4" t="s">
        <v>239</v>
      </c>
      <c r="L265" s="12" t="s">
        <v>232</v>
      </c>
      <c r="M265" s="12" t="s">
        <v>240</v>
      </c>
      <c r="N265" s="4" t="s">
        <v>386</v>
      </c>
      <c r="O265" s="9" t="s">
        <v>304</v>
      </c>
      <c r="P265" s="9" t="s">
        <v>305</v>
      </c>
      <c r="Q265" s="9" t="s">
        <v>306</v>
      </c>
      <c r="R265" s="9" t="s">
        <v>307</v>
      </c>
      <c r="Y265" s="10">
        <f>IF(S265="", "", IF(W265="Green", S265+30, IF(W265="Yellow", S265+7, IF(W265="Red", S265+2, ""))))</f>
        <v>0</v>
      </c>
      <c r="Z265" s="11">
        <f>IF(Y265="", "", (Y265-TODAY()) * 50 - V265 * 10 - G265 * 5 + IF(W265="Red", -20, IF(W265="Yellow", -10, 0)) - IFERROR(INDEX(Analytics!$F$5:$F$20, MATCH(C265, Analytics!$A$5:$A$20, 0)) * 5, 0) + MOD(A265, 7))</f>
        <v>0</v>
      </c>
    </row>
    <row r="266" spans="1:26">
      <c r="A266" s="11">
        <v>265</v>
      </c>
      <c r="B266" s="4" t="s">
        <v>630</v>
      </c>
      <c r="C266" s="12" t="s">
        <v>94</v>
      </c>
      <c r="D266" s="12" t="s">
        <v>40</v>
      </c>
      <c r="E266" s="12" t="s">
        <v>35</v>
      </c>
      <c r="F266" s="11">
        <v>40</v>
      </c>
      <c r="G266" s="11">
        <v>10</v>
      </c>
      <c r="H266" s="12" t="s">
        <v>117</v>
      </c>
      <c r="I266" s="12" t="s">
        <v>117</v>
      </c>
      <c r="J266" s="4" t="s">
        <v>236</v>
      </c>
      <c r="K266" s="4" t="s">
        <v>239</v>
      </c>
      <c r="L266" s="12" t="s">
        <v>232</v>
      </c>
      <c r="M266" s="12" t="s">
        <v>240</v>
      </c>
      <c r="N266" s="4" t="s">
        <v>533</v>
      </c>
      <c r="O266" s="9" t="s">
        <v>304</v>
      </c>
      <c r="P266" s="9" t="s">
        <v>305</v>
      </c>
      <c r="Q266" s="9" t="s">
        <v>306</v>
      </c>
      <c r="R266" s="9" t="s">
        <v>307</v>
      </c>
      <c r="Y266" s="10">
        <f>IF(S266="", "", IF(W266="Green", S266+30, IF(W266="Yellow", S266+7, IF(W266="Red", S266+2, ""))))</f>
        <v>0</v>
      </c>
      <c r="Z266" s="11">
        <f>IF(Y266="", "", (Y266-TODAY()) * 50 - V266 * 10 - G266 * 5 + IF(W266="Red", -20, IF(W266="Yellow", -10, 0)) - IFERROR(INDEX(Analytics!$F$5:$F$20, MATCH(C266, Analytics!$A$5:$A$20, 0)) * 5, 0) + MOD(A266, 7))</f>
        <v>0</v>
      </c>
    </row>
    <row r="267" spans="1:26">
      <c r="A267" s="11">
        <v>266</v>
      </c>
      <c r="B267" s="4" t="s">
        <v>631</v>
      </c>
      <c r="C267" s="12" t="s">
        <v>94</v>
      </c>
      <c r="D267" s="12" t="s">
        <v>40</v>
      </c>
      <c r="E267" s="12" t="s">
        <v>35</v>
      </c>
      <c r="F267" s="11">
        <v>40</v>
      </c>
      <c r="G267" s="11">
        <v>9</v>
      </c>
      <c r="H267" s="12" t="s">
        <v>117</v>
      </c>
      <c r="I267" s="12" t="s">
        <v>117</v>
      </c>
      <c r="J267" s="4" t="s">
        <v>236</v>
      </c>
      <c r="K267" s="4" t="s">
        <v>239</v>
      </c>
      <c r="L267" s="12" t="s">
        <v>232</v>
      </c>
      <c r="M267" s="12" t="s">
        <v>240</v>
      </c>
      <c r="N267" s="4" t="s">
        <v>336</v>
      </c>
      <c r="O267" s="9" t="s">
        <v>304</v>
      </c>
      <c r="P267" s="9" t="s">
        <v>305</v>
      </c>
      <c r="Q267" s="9" t="s">
        <v>306</v>
      </c>
      <c r="R267" s="9" t="s">
        <v>307</v>
      </c>
      <c r="Y267" s="10">
        <f>IF(S267="", "", IF(W267="Green", S267+30, IF(W267="Yellow", S267+7, IF(W267="Red", S267+2, ""))))</f>
        <v>0</v>
      </c>
      <c r="Z267" s="11">
        <f>IF(Y267="", "", (Y267-TODAY()) * 50 - V267 * 10 - G267 * 5 + IF(W267="Red", -20, IF(W267="Yellow", -10, 0)) - IFERROR(INDEX(Analytics!$F$5:$F$20, MATCH(C267, Analytics!$A$5:$A$20, 0)) * 5, 0) + MOD(A267, 7))</f>
        <v>0</v>
      </c>
    </row>
    <row r="268" spans="1:26">
      <c r="A268" s="11">
        <v>267</v>
      </c>
      <c r="B268" s="4" t="s">
        <v>632</v>
      </c>
      <c r="C268" s="12" t="s">
        <v>94</v>
      </c>
      <c r="D268" s="12" t="s">
        <v>40</v>
      </c>
      <c r="E268" s="12" t="s">
        <v>35</v>
      </c>
      <c r="F268" s="11">
        <v>40</v>
      </c>
      <c r="G268" s="11">
        <v>9</v>
      </c>
      <c r="H268" s="12" t="s">
        <v>150</v>
      </c>
      <c r="I268" s="12" t="s">
        <v>117</v>
      </c>
      <c r="J268" s="4" t="s">
        <v>236</v>
      </c>
      <c r="K268" s="4" t="s">
        <v>239</v>
      </c>
      <c r="L268" s="12" t="s">
        <v>232</v>
      </c>
      <c r="M268" s="12" t="s">
        <v>240</v>
      </c>
      <c r="N268" s="4" t="s">
        <v>336</v>
      </c>
      <c r="O268" s="9" t="s">
        <v>304</v>
      </c>
      <c r="P268" s="9" t="s">
        <v>305</v>
      </c>
      <c r="Q268" s="9" t="s">
        <v>306</v>
      </c>
      <c r="R268" s="9" t="s">
        <v>307</v>
      </c>
      <c r="Y268" s="10">
        <f>IF(S268="", "", IF(W268="Green", S268+30, IF(W268="Yellow", S268+7, IF(W268="Red", S268+2, ""))))</f>
        <v>0</v>
      </c>
      <c r="Z268" s="11">
        <f>IF(Y268="", "", (Y268-TODAY()) * 50 - V268 * 10 - G268 * 5 + IF(W268="Red", -20, IF(W268="Yellow", -10, 0)) - IFERROR(INDEX(Analytics!$F$5:$F$20, MATCH(C268, Analytics!$A$5:$A$20, 0)) * 5, 0) + MOD(A268, 7))</f>
        <v>0</v>
      </c>
    </row>
    <row r="269" spans="1:26">
      <c r="A269" s="11">
        <v>268</v>
      </c>
      <c r="B269" s="4" t="s">
        <v>633</v>
      </c>
      <c r="C269" s="12" t="s">
        <v>47</v>
      </c>
      <c r="D269" s="12" t="s">
        <v>47</v>
      </c>
      <c r="E269" s="12" t="s">
        <v>34</v>
      </c>
      <c r="F269" s="11">
        <v>20</v>
      </c>
      <c r="G269" s="11">
        <v>10</v>
      </c>
      <c r="H269" s="12" t="s">
        <v>117</v>
      </c>
      <c r="I269" s="12" t="s">
        <v>117</v>
      </c>
      <c r="J269" s="4" t="s">
        <v>286</v>
      </c>
      <c r="K269" s="4" t="s">
        <v>289</v>
      </c>
      <c r="L269" s="12" t="s">
        <v>290</v>
      </c>
      <c r="M269" s="12" t="s">
        <v>291</v>
      </c>
      <c r="N269" s="4" t="s">
        <v>421</v>
      </c>
      <c r="O269" s="9" t="s">
        <v>304</v>
      </c>
      <c r="P269" s="9" t="s">
        <v>305</v>
      </c>
      <c r="Q269" s="9" t="s">
        <v>306</v>
      </c>
      <c r="R269" s="9" t="s">
        <v>307</v>
      </c>
      <c r="Y269" s="10">
        <f>IF(S269="", "", IF(W269="Green", S269+30, IF(W269="Yellow", S269+7, IF(W269="Red", S269+2, ""))))</f>
        <v>0</v>
      </c>
      <c r="Z269" s="11">
        <f>IF(Y269="", "", (Y269-TODAY()) * 50 - V269 * 10 - G269 * 5 + IF(W269="Red", -20, IF(W269="Yellow", -10, 0)) - IFERROR(INDEX(Analytics!$F$5:$F$20, MATCH(C269, Analytics!$A$5:$A$20, 0)) * 5, 0) + MOD(A269, 7))</f>
        <v>0</v>
      </c>
    </row>
    <row r="270" spans="1:26">
      <c r="A270" s="11">
        <v>269</v>
      </c>
      <c r="B270" s="4" t="s">
        <v>634</v>
      </c>
      <c r="C270" s="12" t="s">
        <v>47</v>
      </c>
      <c r="D270" s="12" t="s">
        <v>47</v>
      </c>
      <c r="E270" s="12" t="s">
        <v>35</v>
      </c>
      <c r="F270" s="11">
        <v>40</v>
      </c>
      <c r="G270" s="11">
        <v>10</v>
      </c>
      <c r="H270" s="12" t="s">
        <v>117</v>
      </c>
      <c r="I270" s="12" t="s">
        <v>117</v>
      </c>
      <c r="J270" s="4" t="s">
        <v>286</v>
      </c>
      <c r="K270" s="4" t="s">
        <v>289</v>
      </c>
      <c r="L270" s="12" t="s">
        <v>290</v>
      </c>
      <c r="M270" s="12" t="s">
        <v>291</v>
      </c>
      <c r="N270" s="4" t="s">
        <v>612</v>
      </c>
      <c r="O270" s="9" t="s">
        <v>304</v>
      </c>
      <c r="P270" s="9" t="s">
        <v>305</v>
      </c>
      <c r="Q270" s="9" t="s">
        <v>306</v>
      </c>
      <c r="R270" s="9" t="s">
        <v>307</v>
      </c>
      <c r="Y270" s="10">
        <f>IF(S270="", "", IF(W270="Green", S270+30, IF(W270="Yellow", S270+7, IF(W270="Red", S270+2, ""))))</f>
        <v>0</v>
      </c>
      <c r="Z270" s="11">
        <f>IF(Y270="", "", (Y270-TODAY()) * 50 - V270 * 10 - G270 * 5 + IF(W270="Red", -20, IF(W270="Yellow", -10, 0)) - IFERROR(INDEX(Analytics!$F$5:$F$20, MATCH(C270, Analytics!$A$5:$A$20, 0)) * 5, 0) + MOD(A270, 7))</f>
        <v>0</v>
      </c>
    </row>
    <row r="271" spans="1:26">
      <c r="A271" s="11">
        <v>270</v>
      </c>
      <c r="B271" s="4" t="s">
        <v>635</v>
      </c>
      <c r="C271" s="12" t="s">
        <v>47</v>
      </c>
      <c r="D271" s="12" t="s">
        <v>47</v>
      </c>
      <c r="E271" s="12" t="s">
        <v>35</v>
      </c>
      <c r="F271" s="11">
        <v>40</v>
      </c>
      <c r="G271" s="11">
        <v>9</v>
      </c>
      <c r="H271" s="12" t="s">
        <v>150</v>
      </c>
      <c r="I271" s="12" t="s">
        <v>117</v>
      </c>
      <c r="J271" s="4" t="s">
        <v>286</v>
      </c>
      <c r="K271" s="4" t="s">
        <v>289</v>
      </c>
      <c r="L271" s="12" t="s">
        <v>290</v>
      </c>
      <c r="M271" s="12" t="s">
        <v>291</v>
      </c>
      <c r="N271" s="4" t="s">
        <v>477</v>
      </c>
      <c r="O271" s="9" t="s">
        <v>304</v>
      </c>
      <c r="P271" s="9" t="s">
        <v>305</v>
      </c>
      <c r="Q271" s="9" t="s">
        <v>306</v>
      </c>
      <c r="R271" s="9" t="s">
        <v>307</v>
      </c>
      <c r="Y271" s="10">
        <f>IF(S271="", "", IF(W271="Green", S271+30, IF(W271="Yellow", S271+7, IF(W271="Red", S271+2, ""))))</f>
        <v>0</v>
      </c>
      <c r="Z271" s="11">
        <f>IF(Y271="", "", (Y271-TODAY()) * 50 - V271 * 10 - G271 * 5 + IF(W271="Red", -20, IF(W271="Yellow", -10, 0)) - IFERROR(INDEX(Analytics!$F$5:$F$20, MATCH(C271, Analytics!$A$5:$A$20, 0)) * 5, 0) + MOD(A271, 7))</f>
        <v>0</v>
      </c>
    </row>
    <row r="272" spans="1:26">
      <c r="A272" s="11">
        <v>271</v>
      </c>
      <c r="B272" s="4" t="s">
        <v>636</v>
      </c>
      <c r="C272" s="12" t="s">
        <v>47</v>
      </c>
      <c r="D272" s="12" t="s">
        <v>47</v>
      </c>
      <c r="E272" s="12" t="s">
        <v>35</v>
      </c>
      <c r="F272" s="11">
        <v>40</v>
      </c>
      <c r="G272" s="11">
        <v>10</v>
      </c>
      <c r="H272" s="12" t="s">
        <v>117</v>
      </c>
      <c r="I272" s="12" t="s">
        <v>117</v>
      </c>
      <c r="J272" s="4" t="s">
        <v>286</v>
      </c>
      <c r="K272" s="4" t="s">
        <v>289</v>
      </c>
      <c r="L272" s="12" t="s">
        <v>290</v>
      </c>
      <c r="M272" s="12" t="s">
        <v>291</v>
      </c>
      <c r="N272" s="4" t="s">
        <v>404</v>
      </c>
      <c r="O272" s="9" t="s">
        <v>304</v>
      </c>
      <c r="P272" s="9" t="s">
        <v>305</v>
      </c>
      <c r="Q272" s="9" t="s">
        <v>306</v>
      </c>
      <c r="R272" s="9" t="s">
        <v>307</v>
      </c>
      <c r="Y272" s="10">
        <f>IF(S272="", "", IF(W272="Green", S272+30, IF(W272="Yellow", S272+7, IF(W272="Red", S272+2, ""))))</f>
        <v>0</v>
      </c>
      <c r="Z272" s="11">
        <f>IF(Y272="", "", (Y272-TODAY()) * 50 - V272 * 10 - G272 * 5 + IF(W272="Red", -20, IF(W272="Yellow", -10, 0)) - IFERROR(INDEX(Analytics!$F$5:$F$20, MATCH(C272, Analytics!$A$5:$A$20, 0)) * 5, 0) + MOD(A272, 7))</f>
        <v>0</v>
      </c>
    </row>
    <row r="273" spans="1:26">
      <c r="A273" s="11">
        <v>272</v>
      </c>
      <c r="B273" s="4" t="s">
        <v>637</v>
      </c>
      <c r="C273" s="12" t="s">
        <v>47</v>
      </c>
      <c r="D273" s="12" t="s">
        <v>47</v>
      </c>
      <c r="E273" s="12" t="s">
        <v>35</v>
      </c>
      <c r="F273" s="11">
        <v>40</v>
      </c>
      <c r="G273" s="11">
        <v>10</v>
      </c>
      <c r="H273" s="12" t="s">
        <v>117</v>
      </c>
      <c r="I273" s="12" t="s">
        <v>117</v>
      </c>
      <c r="J273" s="4" t="s">
        <v>286</v>
      </c>
      <c r="K273" s="4" t="s">
        <v>289</v>
      </c>
      <c r="L273" s="12" t="s">
        <v>290</v>
      </c>
      <c r="M273" s="12" t="s">
        <v>291</v>
      </c>
      <c r="N273" s="4" t="s">
        <v>315</v>
      </c>
      <c r="O273" s="9" t="s">
        <v>304</v>
      </c>
      <c r="P273" s="9" t="s">
        <v>305</v>
      </c>
      <c r="Q273" s="9" t="s">
        <v>306</v>
      </c>
      <c r="R273" s="9" t="s">
        <v>307</v>
      </c>
      <c r="Y273" s="10">
        <f>IF(S273="", "", IF(W273="Green", S273+30, IF(W273="Yellow", S273+7, IF(W273="Red", S273+2, ""))))</f>
        <v>0</v>
      </c>
      <c r="Z273" s="11">
        <f>IF(Y273="", "", (Y273-TODAY()) * 50 - V273 * 10 - G273 * 5 + IF(W273="Red", -20, IF(W273="Yellow", -10, 0)) - IFERROR(INDEX(Analytics!$F$5:$F$20, MATCH(C273, Analytics!$A$5:$A$20, 0)) * 5, 0) + MOD(A273, 7))</f>
        <v>0</v>
      </c>
    </row>
    <row r="274" spans="1:26">
      <c r="A274" s="11">
        <v>273</v>
      </c>
      <c r="B274" s="4" t="s">
        <v>638</v>
      </c>
      <c r="C274" s="12" t="s">
        <v>47</v>
      </c>
      <c r="D274" s="12" t="s">
        <v>47</v>
      </c>
      <c r="E274" s="12" t="s">
        <v>35</v>
      </c>
      <c r="F274" s="11">
        <v>40</v>
      </c>
      <c r="G274" s="11">
        <v>10</v>
      </c>
      <c r="H274" s="12" t="s">
        <v>117</v>
      </c>
      <c r="I274" s="12" t="s">
        <v>117</v>
      </c>
      <c r="J274" s="4" t="s">
        <v>286</v>
      </c>
      <c r="K274" s="4" t="s">
        <v>289</v>
      </c>
      <c r="L274" s="12" t="s">
        <v>290</v>
      </c>
      <c r="M274" s="12" t="s">
        <v>291</v>
      </c>
      <c r="N274" s="4" t="s">
        <v>338</v>
      </c>
      <c r="O274" s="9" t="s">
        <v>304</v>
      </c>
      <c r="P274" s="9" t="s">
        <v>305</v>
      </c>
      <c r="Q274" s="9" t="s">
        <v>306</v>
      </c>
      <c r="R274" s="9" t="s">
        <v>307</v>
      </c>
      <c r="Y274" s="10">
        <f>IF(S274="", "", IF(W274="Green", S274+30, IF(W274="Yellow", S274+7, IF(W274="Red", S274+2, ""))))</f>
        <v>0</v>
      </c>
      <c r="Z274" s="11">
        <f>IF(Y274="", "", (Y274-TODAY()) * 50 - V274 * 10 - G274 * 5 + IF(W274="Red", -20, IF(W274="Yellow", -10, 0)) - IFERROR(INDEX(Analytics!$F$5:$F$20, MATCH(C274, Analytics!$A$5:$A$20, 0)) * 5, 0) + MOD(A274, 7))</f>
        <v>0</v>
      </c>
    </row>
    <row r="275" spans="1:26">
      <c r="A275" s="11">
        <v>274</v>
      </c>
      <c r="B275" s="4" t="s">
        <v>639</v>
      </c>
      <c r="C275" s="12" t="s">
        <v>47</v>
      </c>
      <c r="D275" s="12" t="s">
        <v>47</v>
      </c>
      <c r="E275" s="12" t="s">
        <v>36</v>
      </c>
      <c r="F275" s="11">
        <v>60</v>
      </c>
      <c r="G275" s="11">
        <v>10</v>
      </c>
      <c r="H275" s="12" t="s">
        <v>117</v>
      </c>
      <c r="I275" s="12" t="s">
        <v>117</v>
      </c>
      <c r="J275" s="4" t="s">
        <v>286</v>
      </c>
      <c r="K275" s="4" t="s">
        <v>289</v>
      </c>
      <c r="L275" s="12" t="s">
        <v>290</v>
      </c>
      <c r="M275" s="12" t="s">
        <v>291</v>
      </c>
      <c r="N275" s="4" t="s">
        <v>499</v>
      </c>
      <c r="O275" s="9" t="s">
        <v>304</v>
      </c>
      <c r="P275" s="9" t="s">
        <v>305</v>
      </c>
      <c r="Q275" s="9" t="s">
        <v>306</v>
      </c>
      <c r="R275" s="9" t="s">
        <v>307</v>
      </c>
      <c r="Y275" s="10">
        <f>IF(S275="", "", IF(W275="Green", S275+30, IF(W275="Yellow", S275+7, IF(W275="Red", S275+2, ""))))</f>
        <v>0</v>
      </c>
      <c r="Z275" s="11">
        <f>IF(Y275="", "", (Y275-TODAY()) * 50 - V275 * 10 - G275 * 5 + IF(W275="Red", -20, IF(W275="Yellow", -10, 0)) - IFERROR(INDEX(Analytics!$F$5:$F$20, MATCH(C275, Analytics!$A$5:$A$20, 0)) * 5, 0) + MOD(A275, 7))</f>
        <v>0</v>
      </c>
    </row>
    <row r="276" spans="1:26">
      <c r="A276" s="11">
        <v>275</v>
      </c>
      <c r="B276" s="4" t="s">
        <v>640</v>
      </c>
      <c r="C276" s="12" t="s">
        <v>47</v>
      </c>
      <c r="D276" s="12" t="s">
        <v>47</v>
      </c>
      <c r="E276" s="12" t="s">
        <v>35</v>
      </c>
      <c r="F276" s="11">
        <v>40</v>
      </c>
      <c r="G276" s="11">
        <v>9</v>
      </c>
      <c r="H276" s="12" t="s">
        <v>150</v>
      </c>
      <c r="I276" s="12" t="s">
        <v>117</v>
      </c>
      <c r="J276" s="4" t="s">
        <v>286</v>
      </c>
      <c r="K276" s="4" t="s">
        <v>289</v>
      </c>
      <c r="L276" s="12" t="s">
        <v>290</v>
      </c>
      <c r="M276" s="12" t="s">
        <v>291</v>
      </c>
      <c r="N276" s="4" t="s">
        <v>324</v>
      </c>
      <c r="O276" s="9" t="s">
        <v>304</v>
      </c>
      <c r="P276" s="9" t="s">
        <v>305</v>
      </c>
      <c r="Q276" s="9" t="s">
        <v>306</v>
      </c>
      <c r="R276" s="9" t="s">
        <v>307</v>
      </c>
      <c r="Y276" s="10">
        <f>IF(S276="", "", IF(W276="Green", S276+30, IF(W276="Yellow", S276+7, IF(W276="Red", S276+2, ""))))</f>
        <v>0</v>
      </c>
      <c r="Z276" s="11">
        <f>IF(Y276="", "", (Y276-TODAY()) * 50 - V276 * 10 - G276 * 5 + IF(W276="Red", -20, IF(W276="Yellow", -10, 0)) - IFERROR(INDEX(Analytics!$F$5:$F$20, MATCH(C276, Analytics!$A$5:$A$20, 0)) * 5, 0) + MOD(A276, 7))</f>
        <v>0</v>
      </c>
    </row>
    <row r="277" spans="1:26">
      <c r="A277" s="11">
        <v>276</v>
      </c>
      <c r="B277" s="4" t="s">
        <v>641</v>
      </c>
      <c r="C277" s="12" t="s">
        <v>47</v>
      </c>
      <c r="D277" s="12" t="s">
        <v>47</v>
      </c>
      <c r="E277" s="12" t="s">
        <v>35</v>
      </c>
      <c r="F277" s="11">
        <v>40</v>
      </c>
      <c r="G277" s="11">
        <v>10</v>
      </c>
      <c r="H277" s="12" t="s">
        <v>117</v>
      </c>
      <c r="I277" s="12" t="s">
        <v>117</v>
      </c>
      <c r="J277" s="4" t="s">
        <v>286</v>
      </c>
      <c r="K277" s="4" t="s">
        <v>289</v>
      </c>
      <c r="L277" s="12" t="s">
        <v>290</v>
      </c>
      <c r="M277" s="12" t="s">
        <v>291</v>
      </c>
      <c r="N277" s="4" t="s">
        <v>352</v>
      </c>
      <c r="O277" s="9" t="s">
        <v>304</v>
      </c>
      <c r="P277" s="9" t="s">
        <v>305</v>
      </c>
      <c r="Q277" s="9" t="s">
        <v>306</v>
      </c>
      <c r="R277" s="9" t="s">
        <v>307</v>
      </c>
      <c r="Y277" s="10">
        <f>IF(S277="", "", IF(W277="Green", S277+30, IF(W277="Yellow", S277+7, IF(W277="Red", S277+2, ""))))</f>
        <v>0</v>
      </c>
      <c r="Z277" s="11">
        <f>IF(Y277="", "", (Y277-TODAY()) * 50 - V277 * 10 - G277 * 5 + IF(W277="Red", -20, IF(W277="Yellow", -10, 0)) - IFERROR(INDEX(Analytics!$F$5:$F$20, MATCH(C277, Analytics!$A$5:$A$20, 0)) * 5, 0) + MOD(A277, 7))</f>
        <v>0</v>
      </c>
    </row>
    <row r="278" spans="1:26">
      <c r="A278" s="11">
        <v>277</v>
      </c>
      <c r="B278" s="4" t="s">
        <v>642</v>
      </c>
      <c r="C278" s="12" t="s">
        <v>47</v>
      </c>
      <c r="D278" s="12" t="s">
        <v>47</v>
      </c>
      <c r="E278" s="12" t="s">
        <v>35</v>
      </c>
      <c r="F278" s="11">
        <v>40</v>
      </c>
      <c r="G278" s="11">
        <v>9</v>
      </c>
      <c r="H278" s="12" t="s">
        <v>150</v>
      </c>
      <c r="I278" s="12" t="s">
        <v>117</v>
      </c>
      <c r="J278" s="4" t="s">
        <v>286</v>
      </c>
      <c r="K278" s="4" t="s">
        <v>289</v>
      </c>
      <c r="L278" s="12" t="s">
        <v>290</v>
      </c>
      <c r="M278" s="12" t="s">
        <v>291</v>
      </c>
      <c r="N278" s="4" t="s">
        <v>328</v>
      </c>
      <c r="O278" s="9" t="s">
        <v>304</v>
      </c>
      <c r="P278" s="9" t="s">
        <v>305</v>
      </c>
      <c r="Q278" s="9" t="s">
        <v>306</v>
      </c>
      <c r="R278" s="9" t="s">
        <v>307</v>
      </c>
      <c r="Y278" s="10">
        <f>IF(S278="", "", IF(W278="Green", S278+30, IF(W278="Yellow", S278+7, IF(W278="Red", S278+2, ""))))</f>
        <v>0</v>
      </c>
      <c r="Z278" s="11">
        <f>IF(Y278="", "", (Y278-TODAY()) * 50 - V278 * 10 - G278 * 5 + IF(W278="Red", -20, IF(W278="Yellow", -10, 0)) - IFERROR(INDEX(Analytics!$F$5:$F$20, MATCH(C278, Analytics!$A$5:$A$20, 0)) * 5, 0) + MOD(A278, 7))</f>
        <v>0</v>
      </c>
    </row>
    <row r="279" spans="1:26">
      <c r="A279" s="11">
        <v>278</v>
      </c>
      <c r="B279" s="4" t="s">
        <v>643</v>
      </c>
      <c r="C279" s="12" t="s">
        <v>47</v>
      </c>
      <c r="D279" s="12" t="s">
        <v>47</v>
      </c>
      <c r="E279" s="12" t="s">
        <v>35</v>
      </c>
      <c r="F279" s="11">
        <v>40</v>
      </c>
      <c r="G279" s="11">
        <v>9</v>
      </c>
      <c r="H279" s="12" t="s">
        <v>117</v>
      </c>
      <c r="I279" s="12" t="s">
        <v>117</v>
      </c>
      <c r="J279" s="4" t="s">
        <v>286</v>
      </c>
      <c r="K279" s="4" t="s">
        <v>289</v>
      </c>
      <c r="L279" s="12" t="s">
        <v>290</v>
      </c>
      <c r="M279" s="12" t="s">
        <v>291</v>
      </c>
      <c r="N279" s="4" t="s">
        <v>436</v>
      </c>
      <c r="O279" s="9" t="s">
        <v>304</v>
      </c>
      <c r="P279" s="9" t="s">
        <v>305</v>
      </c>
      <c r="Q279" s="9" t="s">
        <v>306</v>
      </c>
      <c r="R279" s="9" t="s">
        <v>307</v>
      </c>
      <c r="Y279" s="10">
        <f>IF(S279="", "", IF(W279="Green", S279+30, IF(W279="Yellow", S279+7, IF(W279="Red", S279+2, ""))))</f>
        <v>0</v>
      </c>
      <c r="Z279" s="11">
        <f>IF(Y279="", "", (Y279-TODAY()) * 50 - V279 * 10 - G279 * 5 + IF(W279="Red", -20, IF(W279="Yellow", -10, 0)) - IFERROR(INDEX(Analytics!$F$5:$F$20, MATCH(C279, Analytics!$A$5:$A$20, 0)) * 5, 0) + MOD(A279, 7))</f>
        <v>0</v>
      </c>
    </row>
    <row r="280" spans="1:26">
      <c r="A280" s="11">
        <v>279</v>
      </c>
      <c r="B280" s="4" t="s">
        <v>644</v>
      </c>
      <c r="C280" s="12" t="s">
        <v>47</v>
      </c>
      <c r="D280" s="12" t="s">
        <v>47</v>
      </c>
      <c r="E280" s="12" t="s">
        <v>35</v>
      </c>
      <c r="F280" s="11">
        <v>40</v>
      </c>
      <c r="G280" s="11">
        <v>9</v>
      </c>
      <c r="H280" s="12" t="s">
        <v>117</v>
      </c>
      <c r="I280" s="12" t="s">
        <v>117</v>
      </c>
      <c r="J280" s="4" t="s">
        <v>286</v>
      </c>
      <c r="K280" s="4" t="s">
        <v>289</v>
      </c>
      <c r="L280" s="12" t="s">
        <v>290</v>
      </c>
      <c r="M280" s="12" t="s">
        <v>291</v>
      </c>
      <c r="N280" s="4" t="s">
        <v>332</v>
      </c>
      <c r="O280" s="9" t="s">
        <v>304</v>
      </c>
      <c r="P280" s="9" t="s">
        <v>305</v>
      </c>
      <c r="Q280" s="9" t="s">
        <v>306</v>
      </c>
      <c r="R280" s="9" t="s">
        <v>307</v>
      </c>
      <c r="Y280" s="10">
        <f>IF(S280="", "", IF(W280="Green", S280+30, IF(W280="Yellow", S280+7, IF(W280="Red", S280+2, ""))))</f>
        <v>0</v>
      </c>
      <c r="Z280" s="11">
        <f>IF(Y280="", "", (Y280-TODAY()) * 50 - V280 * 10 - G280 * 5 + IF(W280="Red", -20, IF(W280="Yellow", -10, 0)) - IFERROR(INDEX(Analytics!$F$5:$F$20, MATCH(C280, Analytics!$A$5:$A$20, 0)) * 5, 0) + MOD(A280, 7))</f>
        <v>0</v>
      </c>
    </row>
    <row r="281" spans="1:26">
      <c r="A281" s="11">
        <v>280</v>
      </c>
      <c r="B281" s="4" t="s">
        <v>645</v>
      </c>
      <c r="C281" s="12" t="s">
        <v>47</v>
      </c>
      <c r="D281" s="12" t="s">
        <v>47</v>
      </c>
      <c r="E281" s="12" t="s">
        <v>35</v>
      </c>
      <c r="F281" s="11">
        <v>40</v>
      </c>
      <c r="G281" s="11">
        <v>8</v>
      </c>
      <c r="H281" s="12" t="s">
        <v>150</v>
      </c>
      <c r="I281" s="12" t="s">
        <v>150</v>
      </c>
      <c r="J281" s="4" t="s">
        <v>286</v>
      </c>
      <c r="K281" s="4" t="s">
        <v>289</v>
      </c>
      <c r="L281" s="12" t="s">
        <v>290</v>
      </c>
      <c r="M281" s="12" t="s">
        <v>291</v>
      </c>
      <c r="N281" s="4" t="s">
        <v>336</v>
      </c>
      <c r="O281" s="9" t="s">
        <v>304</v>
      </c>
      <c r="P281" s="9" t="s">
        <v>305</v>
      </c>
      <c r="Q281" s="9" t="s">
        <v>306</v>
      </c>
      <c r="R281" s="9" t="s">
        <v>307</v>
      </c>
      <c r="Y281" s="10">
        <f>IF(S281="", "", IF(W281="Green", S281+30, IF(W281="Yellow", S281+7, IF(W281="Red", S281+2, ""))))</f>
        <v>0</v>
      </c>
      <c r="Z281" s="11">
        <f>IF(Y281="", "", (Y281-TODAY()) * 50 - V281 * 10 - G281 * 5 + IF(W281="Red", -20, IF(W281="Yellow", -10, 0)) - IFERROR(INDEX(Analytics!$F$5:$F$20, MATCH(C281, Analytics!$A$5:$A$20, 0)) * 5, 0) + MOD(A281, 7))</f>
        <v>0</v>
      </c>
    </row>
    <row r="282" spans="1:26">
      <c r="A282" s="11">
        <v>281</v>
      </c>
      <c r="B282" s="4" t="s">
        <v>646</v>
      </c>
      <c r="C282" s="12" t="s">
        <v>47</v>
      </c>
      <c r="D282" s="12" t="s">
        <v>47</v>
      </c>
      <c r="E282" s="12" t="s">
        <v>34</v>
      </c>
      <c r="F282" s="11">
        <v>20</v>
      </c>
      <c r="G282" s="11">
        <v>8</v>
      </c>
      <c r="H282" s="12" t="s">
        <v>150</v>
      </c>
      <c r="I282" s="12" t="s">
        <v>150</v>
      </c>
      <c r="J282" s="4" t="s">
        <v>286</v>
      </c>
      <c r="K282" s="4" t="s">
        <v>289</v>
      </c>
      <c r="L282" s="12" t="s">
        <v>290</v>
      </c>
      <c r="M282" s="12" t="s">
        <v>291</v>
      </c>
      <c r="N282" s="4" t="s">
        <v>362</v>
      </c>
      <c r="O282" s="9" t="s">
        <v>304</v>
      </c>
      <c r="P282" s="9" t="s">
        <v>305</v>
      </c>
      <c r="Q282" s="9" t="s">
        <v>306</v>
      </c>
      <c r="R282" s="9" t="s">
        <v>307</v>
      </c>
      <c r="Y282" s="10">
        <f>IF(S282="", "", IF(W282="Green", S282+30, IF(W282="Yellow", S282+7, IF(W282="Red", S282+2, ""))))</f>
        <v>0</v>
      </c>
      <c r="Z282" s="11">
        <f>IF(Y282="", "", (Y282-TODAY()) * 50 - V282 * 10 - G282 * 5 + IF(W282="Red", -20, IF(W282="Yellow", -10, 0)) - IFERROR(INDEX(Analytics!$F$5:$F$20, MATCH(C282, Analytics!$A$5:$A$20, 0)) * 5, 0) + MOD(A282, 7))</f>
        <v>0</v>
      </c>
    </row>
    <row r="283" spans="1:26">
      <c r="A283" s="11">
        <v>282</v>
      </c>
      <c r="B283" s="4" t="s">
        <v>647</v>
      </c>
      <c r="C283" s="12" t="s">
        <v>47</v>
      </c>
      <c r="D283" s="12" t="s">
        <v>47</v>
      </c>
      <c r="E283" s="12" t="s">
        <v>35</v>
      </c>
      <c r="F283" s="11">
        <v>40</v>
      </c>
      <c r="G283" s="11">
        <v>9</v>
      </c>
      <c r="H283" s="12" t="s">
        <v>150</v>
      </c>
      <c r="I283" s="12" t="s">
        <v>117</v>
      </c>
      <c r="J283" s="4" t="s">
        <v>286</v>
      </c>
      <c r="K283" s="4" t="s">
        <v>289</v>
      </c>
      <c r="L283" s="12" t="s">
        <v>290</v>
      </c>
      <c r="M283" s="12" t="s">
        <v>291</v>
      </c>
      <c r="N283" s="4" t="s">
        <v>324</v>
      </c>
      <c r="O283" s="9" t="s">
        <v>304</v>
      </c>
      <c r="P283" s="9" t="s">
        <v>305</v>
      </c>
      <c r="Q283" s="9" t="s">
        <v>306</v>
      </c>
      <c r="R283" s="9" t="s">
        <v>307</v>
      </c>
      <c r="Y283" s="10">
        <f>IF(S283="", "", IF(W283="Green", S283+30, IF(W283="Yellow", S283+7, IF(W283="Red", S283+2, ""))))</f>
        <v>0</v>
      </c>
      <c r="Z283" s="11">
        <f>IF(Y283="", "", (Y283-TODAY()) * 50 - V283 * 10 - G283 * 5 + IF(W283="Red", -20, IF(W283="Yellow", -10, 0)) - IFERROR(INDEX(Analytics!$F$5:$F$20, MATCH(C283, Analytics!$A$5:$A$20, 0)) * 5, 0) + MOD(A283, 7))</f>
        <v>0</v>
      </c>
    </row>
    <row r="284" spans="1:26">
      <c r="A284" s="11">
        <v>283</v>
      </c>
      <c r="B284" s="4" t="s">
        <v>648</v>
      </c>
      <c r="C284" s="12" t="s">
        <v>47</v>
      </c>
      <c r="D284" s="12" t="s">
        <v>47</v>
      </c>
      <c r="E284" s="12" t="s">
        <v>35</v>
      </c>
      <c r="F284" s="11">
        <v>40</v>
      </c>
      <c r="G284" s="11">
        <v>9</v>
      </c>
      <c r="H284" s="12" t="s">
        <v>150</v>
      </c>
      <c r="I284" s="12" t="s">
        <v>117</v>
      </c>
      <c r="J284" s="4" t="s">
        <v>286</v>
      </c>
      <c r="K284" s="4" t="s">
        <v>289</v>
      </c>
      <c r="L284" s="12" t="s">
        <v>290</v>
      </c>
      <c r="M284" s="12" t="s">
        <v>291</v>
      </c>
      <c r="N284" s="4" t="s">
        <v>324</v>
      </c>
      <c r="O284" s="9" t="s">
        <v>304</v>
      </c>
      <c r="P284" s="9" t="s">
        <v>305</v>
      </c>
      <c r="Q284" s="9" t="s">
        <v>306</v>
      </c>
      <c r="R284" s="9" t="s">
        <v>307</v>
      </c>
      <c r="Y284" s="10">
        <f>IF(S284="", "", IF(W284="Green", S284+30, IF(W284="Yellow", S284+7, IF(W284="Red", S284+2, ""))))</f>
        <v>0</v>
      </c>
      <c r="Z284" s="11">
        <f>IF(Y284="", "", (Y284-TODAY()) * 50 - V284 * 10 - G284 * 5 + IF(W284="Red", -20, IF(W284="Yellow", -10, 0)) - IFERROR(INDEX(Analytics!$F$5:$F$20, MATCH(C284, Analytics!$A$5:$A$20, 0)) * 5, 0) + MOD(A284, 7))</f>
        <v>0</v>
      </c>
    </row>
    <row r="285" spans="1:26">
      <c r="A285" s="11">
        <v>284</v>
      </c>
      <c r="B285" s="4" t="s">
        <v>649</v>
      </c>
      <c r="C285" s="12" t="s">
        <v>47</v>
      </c>
      <c r="D285" s="12" t="s">
        <v>47</v>
      </c>
      <c r="E285" s="12" t="s">
        <v>35</v>
      </c>
      <c r="F285" s="11">
        <v>40</v>
      </c>
      <c r="G285" s="11">
        <v>8</v>
      </c>
      <c r="H285" s="12" t="s">
        <v>317</v>
      </c>
      <c r="I285" s="12" t="s">
        <v>150</v>
      </c>
      <c r="J285" s="4" t="s">
        <v>286</v>
      </c>
      <c r="K285" s="4" t="s">
        <v>289</v>
      </c>
      <c r="L285" s="12" t="s">
        <v>290</v>
      </c>
      <c r="M285" s="12" t="s">
        <v>291</v>
      </c>
      <c r="N285" s="4" t="s">
        <v>386</v>
      </c>
      <c r="O285" s="9" t="s">
        <v>304</v>
      </c>
      <c r="P285" s="9" t="s">
        <v>305</v>
      </c>
      <c r="Q285" s="9" t="s">
        <v>306</v>
      </c>
      <c r="R285" s="9" t="s">
        <v>307</v>
      </c>
      <c r="Y285" s="10">
        <f>IF(S285="", "", IF(W285="Green", S285+30, IF(W285="Yellow", S285+7, IF(W285="Red", S285+2, ""))))</f>
        <v>0</v>
      </c>
      <c r="Z285" s="11">
        <f>IF(Y285="", "", (Y285-TODAY()) * 50 - V285 * 10 - G285 * 5 + IF(W285="Red", -20, IF(W285="Yellow", -10, 0)) - IFERROR(INDEX(Analytics!$F$5:$F$20, MATCH(C285, Analytics!$A$5:$A$20, 0)) * 5, 0) + MOD(A285, 7))</f>
        <v>0</v>
      </c>
    </row>
    <row r="286" spans="1:26">
      <c r="A286" s="11">
        <v>285</v>
      </c>
      <c r="B286" s="4" t="s">
        <v>650</v>
      </c>
      <c r="C286" s="12" t="s">
        <v>47</v>
      </c>
      <c r="D286" s="12" t="s">
        <v>47</v>
      </c>
      <c r="E286" s="12" t="s">
        <v>35</v>
      </c>
      <c r="F286" s="11">
        <v>40</v>
      </c>
      <c r="G286" s="11">
        <v>8</v>
      </c>
      <c r="H286" s="12" t="s">
        <v>317</v>
      </c>
      <c r="I286" s="12" t="s">
        <v>150</v>
      </c>
      <c r="J286" s="4" t="s">
        <v>286</v>
      </c>
      <c r="K286" s="4" t="s">
        <v>289</v>
      </c>
      <c r="L286" s="12" t="s">
        <v>290</v>
      </c>
      <c r="M286" s="12" t="s">
        <v>291</v>
      </c>
      <c r="N286" s="4" t="s">
        <v>336</v>
      </c>
      <c r="O286" s="9" t="s">
        <v>304</v>
      </c>
      <c r="P286" s="9" t="s">
        <v>305</v>
      </c>
      <c r="Q286" s="9" t="s">
        <v>306</v>
      </c>
      <c r="R286" s="9" t="s">
        <v>307</v>
      </c>
      <c r="Y286" s="10">
        <f>IF(S286="", "", IF(W286="Green", S286+30, IF(W286="Yellow", S286+7, IF(W286="Red", S286+2, ""))))</f>
        <v>0</v>
      </c>
      <c r="Z286" s="11">
        <f>IF(Y286="", "", (Y286-TODAY()) * 50 - V286 * 10 - G286 * 5 + IF(W286="Red", -20, IF(W286="Yellow", -10, 0)) - IFERROR(INDEX(Analytics!$F$5:$F$20, MATCH(C286, Analytics!$A$5:$A$20, 0)) * 5, 0) + MOD(A286, 7))</f>
        <v>0</v>
      </c>
    </row>
    <row r="287" spans="1:26">
      <c r="A287" s="11">
        <v>286</v>
      </c>
      <c r="B287" s="4" t="s">
        <v>651</v>
      </c>
      <c r="C287" s="12" t="s">
        <v>47</v>
      </c>
      <c r="D287" s="12" t="s">
        <v>47</v>
      </c>
      <c r="E287" s="12" t="s">
        <v>35</v>
      </c>
      <c r="F287" s="11">
        <v>40</v>
      </c>
      <c r="G287" s="11">
        <v>8</v>
      </c>
      <c r="H287" s="12" t="s">
        <v>317</v>
      </c>
      <c r="I287" s="12" t="s">
        <v>150</v>
      </c>
      <c r="J287" s="4" t="s">
        <v>286</v>
      </c>
      <c r="K287" s="4" t="s">
        <v>289</v>
      </c>
      <c r="L287" s="12" t="s">
        <v>290</v>
      </c>
      <c r="M287" s="12" t="s">
        <v>291</v>
      </c>
      <c r="N287" s="4" t="s">
        <v>75</v>
      </c>
      <c r="O287" s="9" t="s">
        <v>304</v>
      </c>
      <c r="P287" s="9" t="s">
        <v>305</v>
      </c>
      <c r="Q287" s="9" t="s">
        <v>306</v>
      </c>
      <c r="R287" s="9" t="s">
        <v>307</v>
      </c>
      <c r="Y287" s="10">
        <f>IF(S287="", "", IF(W287="Green", S287+30, IF(W287="Yellow", S287+7, IF(W287="Red", S287+2, ""))))</f>
        <v>0</v>
      </c>
      <c r="Z287" s="11">
        <f>IF(Y287="", "", (Y287-TODAY()) * 50 - V287 * 10 - G287 * 5 + IF(W287="Red", -20, IF(W287="Yellow", -10, 0)) - IFERROR(INDEX(Analytics!$F$5:$F$20, MATCH(C287, Analytics!$A$5:$A$20, 0)) * 5, 0) + MOD(A287, 7))</f>
        <v>0</v>
      </c>
    </row>
    <row r="288" spans="1:26">
      <c r="A288" s="11">
        <v>287</v>
      </c>
      <c r="B288" s="4" t="s">
        <v>652</v>
      </c>
      <c r="C288" s="12" t="s">
        <v>47</v>
      </c>
      <c r="D288" s="12" t="s">
        <v>47</v>
      </c>
      <c r="E288" s="12" t="s">
        <v>36</v>
      </c>
      <c r="F288" s="11">
        <v>60</v>
      </c>
      <c r="G288" s="11">
        <v>9</v>
      </c>
      <c r="H288" s="12" t="s">
        <v>150</v>
      </c>
      <c r="I288" s="12" t="s">
        <v>117</v>
      </c>
      <c r="J288" s="4" t="s">
        <v>286</v>
      </c>
      <c r="K288" s="4" t="s">
        <v>289</v>
      </c>
      <c r="L288" s="12" t="s">
        <v>290</v>
      </c>
      <c r="M288" s="12" t="s">
        <v>291</v>
      </c>
      <c r="N288" s="4" t="s">
        <v>324</v>
      </c>
      <c r="O288" s="9" t="s">
        <v>304</v>
      </c>
      <c r="P288" s="9" t="s">
        <v>305</v>
      </c>
      <c r="Q288" s="9" t="s">
        <v>306</v>
      </c>
      <c r="R288" s="9" t="s">
        <v>307</v>
      </c>
      <c r="Y288" s="10">
        <f>IF(S288="", "", IF(W288="Green", S288+30, IF(W288="Yellow", S288+7, IF(W288="Red", S288+2, ""))))</f>
        <v>0</v>
      </c>
      <c r="Z288" s="11">
        <f>IF(Y288="", "", (Y288-TODAY()) * 50 - V288 * 10 - G288 * 5 + IF(W288="Red", -20, IF(W288="Yellow", -10, 0)) - IFERROR(INDEX(Analytics!$F$5:$F$20, MATCH(C288, Analytics!$A$5:$A$20, 0)) * 5, 0) + MOD(A288, 7))</f>
        <v>0</v>
      </c>
    </row>
    <row r="289" spans="1:26">
      <c r="A289" s="11">
        <v>288</v>
      </c>
      <c r="B289" s="4" t="s">
        <v>653</v>
      </c>
      <c r="C289" s="12" t="s">
        <v>45</v>
      </c>
      <c r="D289" s="12" t="s">
        <v>45</v>
      </c>
      <c r="E289" s="12" t="s">
        <v>34</v>
      </c>
      <c r="F289" s="11">
        <v>20</v>
      </c>
      <c r="G289" s="11">
        <v>10</v>
      </c>
      <c r="H289" s="12" t="s">
        <v>117</v>
      </c>
      <c r="I289" s="12" t="s">
        <v>117</v>
      </c>
      <c r="J289" s="4" t="s">
        <v>280</v>
      </c>
      <c r="K289" s="4" t="s">
        <v>283</v>
      </c>
      <c r="L289" s="12" t="s">
        <v>140</v>
      </c>
      <c r="M289" s="12" t="s">
        <v>140</v>
      </c>
      <c r="N289" s="4" t="s">
        <v>395</v>
      </c>
      <c r="O289" s="9" t="s">
        <v>304</v>
      </c>
      <c r="P289" s="9" t="s">
        <v>305</v>
      </c>
      <c r="Q289" s="9" t="s">
        <v>306</v>
      </c>
      <c r="R289" s="9" t="s">
        <v>307</v>
      </c>
      <c r="Y289" s="10">
        <f>IF(S289="", "", IF(W289="Green", S289+30, IF(W289="Yellow", S289+7, IF(W289="Red", S289+2, ""))))</f>
        <v>0</v>
      </c>
      <c r="Z289" s="11">
        <f>IF(Y289="", "", (Y289-TODAY()) * 50 - V289 * 10 - G289 * 5 + IF(W289="Red", -20, IF(W289="Yellow", -10, 0)) - IFERROR(INDEX(Analytics!$F$5:$F$20, MATCH(C289, Analytics!$A$5:$A$20, 0)) * 5, 0) + MOD(A289, 7))</f>
        <v>0</v>
      </c>
    </row>
    <row r="290" spans="1:26">
      <c r="A290" s="11">
        <v>289</v>
      </c>
      <c r="B290" s="4" t="s">
        <v>654</v>
      </c>
      <c r="C290" s="12" t="s">
        <v>45</v>
      </c>
      <c r="D290" s="12" t="s">
        <v>45</v>
      </c>
      <c r="E290" s="12" t="s">
        <v>34</v>
      </c>
      <c r="F290" s="11">
        <v>20</v>
      </c>
      <c r="G290" s="11">
        <v>9</v>
      </c>
      <c r="H290" s="12" t="s">
        <v>150</v>
      </c>
      <c r="I290" s="12" t="s">
        <v>117</v>
      </c>
      <c r="J290" s="4" t="s">
        <v>280</v>
      </c>
      <c r="K290" s="4" t="s">
        <v>283</v>
      </c>
      <c r="L290" s="12" t="s">
        <v>140</v>
      </c>
      <c r="M290" s="12" t="s">
        <v>140</v>
      </c>
      <c r="N290" s="4" t="s">
        <v>423</v>
      </c>
      <c r="O290" s="9" t="s">
        <v>304</v>
      </c>
      <c r="P290" s="9" t="s">
        <v>305</v>
      </c>
      <c r="Q290" s="9" t="s">
        <v>306</v>
      </c>
      <c r="R290" s="9" t="s">
        <v>307</v>
      </c>
      <c r="Y290" s="10">
        <f>IF(S290="", "", IF(W290="Green", S290+30, IF(W290="Yellow", S290+7, IF(W290="Red", S290+2, ""))))</f>
        <v>0</v>
      </c>
      <c r="Z290" s="11">
        <f>IF(Y290="", "", (Y290-TODAY()) * 50 - V290 * 10 - G290 * 5 + IF(W290="Red", -20, IF(W290="Yellow", -10, 0)) - IFERROR(INDEX(Analytics!$F$5:$F$20, MATCH(C290, Analytics!$A$5:$A$20, 0)) * 5, 0) + MOD(A290, 7))</f>
        <v>0</v>
      </c>
    </row>
    <row r="291" spans="1:26">
      <c r="A291" s="11">
        <v>290</v>
      </c>
      <c r="B291" s="4" t="s">
        <v>655</v>
      </c>
      <c r="C291" s="12" t="s">
        <v>45</v>
      </c>
      <c r="D291" s="12" t="s">
        <v>45</v>
      </c>
      <c r="E291" s="12" t="s">
        <v>34</v>
      </c>
      <c r="F291" s="11">
        <v>20</v>
      </c>
      <c r="G291" s="11">
        <v>8</v>
      </c>
      <c r="H291" s="12" t="s">
        <v>317</v>
      </c>
      <c r="I291" s="12" t="s">
        <v>150</v>
      </c>
      <c r="J291" s="4" t="s">
        <v>280</v>
      </c>
      <c r="K291" s="4" t="s">
        <v>283</v>
      </c>
      <c r="L291" s="12" t="s">
        <v>140</v>
      </c>
      <c r="M291" s="12" t="s">
        <v>140</v>
      </c>
      <c r="N291" s="4" t="s">
        <v>462</v>
      </c>
      <c r="O291" s="9" t="s">
        <v>304</v>
      </c>
      <c r="P291" s="9" t="s">
        <v>305</v>
      </c>
      <c r="Q291" s="9" t="s">
        <v>306</v>
      </c>
      <c r="R291" s="9" t="s">
        <v>307</v>
      </c>
      <c r="Y291" s="10">
        <f>IF(S291="", "", IF(W291="Green", S291+30, IF(W291="Yellow", S291+7, IF(W291="Red", S291+2, ""))))</f>
        <v>0</v>
      </c>
      <c r="Z291" s="11">
        <f>IF(Y291="", "", (Y291-TODAY()) * 50 - V291 * 10 - G291 * 5 + IF(W291="Red", -20, IF(W291="Yellow", -10, 0)) - IFERROR(INDEX(Analytics!$F$5:$F$20, MATCH(C291, Analytics!$A$5:$A$20, 0)) * 5, 0) + MOD(A291, 7))</f>
        <v>0</v>
      </c>
    </row>
    <row r="292" spans="1:26">
      <c r="A292" s="11">
        <v>291</v>
      </c>
      <c r="B292" s="4" t="s">
        <v>656</v>
      </c>
      <c r="C292" s="12" t="s">
        <v>45</v>
      </c>
      <c r="D292" s="12" t="s">
        <v>45</v>
      </c>
      <c r="E292" s="12" t="s">
        <v>34</v>
      </c>
      <c r="F292" s="11">
        <v>20</v>
      </c>
      <c r="G292" s="11">
        <v>10</v>
      </c>
      <c r="H292" s="12" t="s">
        <v>117</v>
      </c>
      <c r="I292" s="12" t="s">
        <v>117</v>
      </c>
      <c r="J292" s="4" t="s">
        <v>280</v>
      </c>
      <c r="K292" s="4" t="s">
        <v>283</v>
      </c>
      <c r="L292" s="12" t="s">
        <v>140</v>
      </c>
      <c r="M292" s="12" t="s">
        <v>140</v>
      </c>
      <c r="N292" s="4" t="s">
        <v>404</v>
      </c>
      <c r="O292" s="9" t="s">
        <v>304</v>
      </c>
      <c r="P292" s="9" t="s">
        <v>305</v>
      </c>
      <c r="Q292" s="9" t="s">
        <v>306</v>
      </c>
      <c r="R292" s="9" t="s">
        <v>307</v>
      </c>
      <c r="Y292" s="10">
        <f>IF(S292="", "", IF(W292="Green", S292+30, IF(W292="Yellow", S292+7, IF(W292="Red", S292+2, ""))))</f>
        <v>0</v>
      </c>
      <c r="Z292" s="11">
        <f>IF(Y292="", "", (Y292-TODAY()) * 50 - V292 * 10 - G292 * 5 + IF(W292="Red", -20, IF(W292="Yellow", -10, 0)) - IFERROR(INDEX(Analytics!$F$5:$F$20, MATCH(C292, Analytics!$A$5:$A$20, 0)) * 5, 0) + MOD(A292, 7))</f>
        <v>0</v>
      </c>
    </row>
    <row r="293" spans="1:26">
      <c r="A293" s="11">
        <v>292</v>
      </c>
      <c r="B293" s="4" t="s">
        <v>657</v>
      </c>
      <c r="C293" s="12" t="s">
        <v>45</v>
      </c>
      <c r="D293" s="12" t="s">
        <v>45</v>
      </c>
      <c r="E293" s="12" t="s">
        <v>35</v>
      </c>
      <c r="F293" s="11">
        <v>40</v>
      </c>
      <c r="G293" s="11">
        <v>8</v>
      </c>
      <c r="H293" s="12" t="s">
        <v>150</v>
      </c>
      <c r="I293" s="12" t="s">
        <v>150</v>
      </c>
      <c r="J293" s="4" t="s">
        <v>280</v>
      </c>
      <c r="K293" s="4" t="s">
        <v>283</v>
      </c>
      <c r="L293" s="12" t="s">
        <v>140</v>
      </c>
      <c r="M293" s="12" t="s">
        <v>140</v>
      </c>
      <c r="N293" s="4" t="s">
        <v>336</v>
      </c>
      <c r="O293" s="9" t="s">
        <v>304</v>
      </c>
      <c r="P293" s="9" t="s">
        <v>305</v>
      </c>
      <c r="Q293" s="9" t="s">
        <v>306</v>
      </c>
      <c r="R293" s="9" t="s">
        <v>307</v>
      </c>
      <c r="Y293" s="10">
        <f>IF(S293="", "", IF(W293="Green", S293+30, IF(W293="Yellow", S293+7, IF(W293="Red", S293+2, ""))))</f>
        <v>0</v>
      </c>
      <c r="Z293" s="11">
        <f>IF(Y293="", "", (Y293-TODAY()) * 50 - V293 * 10 - G293 * 5 + IF(W293="Red", -20, IF(W293="Yellow", -10, 0)) - IFERROR(INDEX(Analytics!$F$5:$F$20, MATCH(C293, Analytics!$A$5:$A$20, 0)) * 5, 0) + MOD(A293, 7))</f>
        <v>0</v>
      </c>
    </row>
    <row r="294" spans="1:26">
      <c r="A294" s="11">
        <v>293</v>
      </c>
      <c r="B294" s="4" t="s">
        <v>658</v>
      </c>
      <c r="C294" s="12" t="s">
        <v>45</v>
      </c>
      <c r="D294" s="12" t="s">
        <v>45</v>
      </c>
      <c r="E294" s="12" t="s">
        <v>34</v>
      </c>
      <c r="F294" s="11">
        <v>20</v>
      </c>
      <c r="G294" s="11">
        <v>9</v>
      </c>
      <c r="H294" s="12" t="s">
        <v>117</v>
      </c>
      <c r="I294" s="12" t="s">
        <v>117</v>
      </c>
      <c r="J294" s="4" t="s">
        <v>280</v>
      </c>
      <c r="K294" s="4" t="s">
        <v>283</v>
      </c>
      <c r="L294" s="12" t="s">
        <v>140</v>
      </c>
      <c r="M294" s="12" t="s">
        <v>140</v>
      </c>
      <c r="N294" s="4" t="s">
        <v>332</v>
      </c>
      <c r="O294" s="9" t="s">
        <v>304</v>
      </c>
      <c r="P294" s="9" t="s">
        <v>305</v>
      </c>
      <c r="Q294" s="9" t="s">
        <v>306</v>
      </c>
      <c r="R294" s="9" t="s">
        <v>307</v>
      </c>
      <c r="Y294" s="10">
        <f>IF(S294="", "", IF(W294="Green", S294+30, IF(W294="Yellow", S294+7, IF(W294="Red", S294+2, ""))))</f>
        <v>0</v>
      </c>
      <c r="Z294" s="11">
        <f>IF(Y294="", "", (Y294-TODAY()) * 50 - V294 * 10 - G294 * 5 + IF(W294="Red", -20, IF(W294="Yellow", -10, 0)) - IFERROR(INDEX(Analytics!$F$5:$F$20, MATCH(C294, Analytics!$A$5:$A$20, 0)) * 5, 0) + MOD(A294, 7))</f>
        <v>0</v>
      </c>
    </row>
    <row r="295" spans="1:26">
      <c r="A295" s="11">
        <v>294</v>
      </c>
      <c r="B295" s="4" t="s">
        <v>659</v>
      </c>
      <c r="C295" s="12" t="s">
        <v>45</v>
      </c>
      <c r="D295" s="12" t="s">
        <v>42</v>
      </c>
      <c r="E295" s="12" t="s">
        <v>35</v>
      </c>
      <c r="F295" s="11">
        <v>40</v>
      </c>
      <c r="G295" s="11">
        <v>9</v>
      </c>
      <c r="H295" s="12" t="s">
        <v>117</v>
      </c>
      <c r="I295" s="12" t="s">
        <v>117</v>
      </c>
      <c r="J295" s="4" t="s">
        <v>264</v>
      </c>
      <c r="K295" s="4" t="s">
        <v>267</v>
      </c>
      <c r="L295" s="12" t="s">
        <v>268</v>
      </c>
      <c r="M295" s="12" t="s">
        <v>269</v>
      </c>
      <c r="N295" s="4" t="s">
        <v>338</v>
      </c>
      <c r="O295" s="9" t="s">
        <v>304</v>
      </c>
      <c r="P295" s="9" t="s">
        <v>305</v>
      </c>
      <c r="Q295" s="9" t="s">
        <v>306</v>
      </c>
      <c r="R295" s="9" t="s">
        <v>307</v>
      </c>
      <c r="Y295" s="10">
        <f>IF(S295="", "", IF(W295="Green", S295+30, IF(W295="Yellow", S295+7, IF(W295="Red", S295+2, ""))))</f>
        <v>0</v>
      </c>
      <c r="Z295" s="11">
        <f>IF(Y295="", "", (Y295-TODAY()) * 50 - V295 * 10 - G295 * 5 + IF(W295="Red", -20, IF(W295="Yellow", -10, 0)) - IFERROR(INDEX(Analytics!$F$5:$F$20, MATCH(C295, Analytics!$A$5:$A$20, 0)) * 5, 0) + MOD(A295, 7))</f>
        <v>0</v>
      </c>
    </row>
    <row r="296" spans="1:26">
      <c r="A296" s="11">
        <v>295</v>
      </c>
      <c r="B296" s="4" t="s">
        <v>660</v>
      </c>
      <c r="C296" s="12" t="s">
        <v>45</v>
      </c>
      <c r="D296" s="12" t="s">
        <v>45</v>
      </c>
      <c r="E296" s="12" t="s">
        <v>35</v>
      </c>
      <c r="F296" s="11">
        <v>40</v>
      </c>
      <c r="G296" s="11">
        <v>8</v>
      </c>
      <c r="H296" s="12" t="s">
        <v>317</v>
      </c>
      <c r="I296" s="12" t="s">
        <v>150</v>
      </c>
      <c r="J296" s="4" t="s">
        <v>280</v>
      </c>
      <c r="K296" s="4" t="s">
        <v>283</v>
      </c>
      <c r="L296" s="12" t="s">
        <v>140</v>
      </c>
      <c r="M296" s="12" t="s">
        <v>140</v>
      </c>
      <c r="N296" s="4" t="s">
        <v>621</v>
      </c>
      <c r="O296" s="9" t="s">
        <v>304</v>
      </c>
      <c r="P296" s="9" t="s">
        <v>305</v>
      </c>
      <c r="Q296" s="9" t="s">
        <v>306</v>
      </c>
      <c r="R296" s="9" t="s">
        <v>307</v>
      </c>
      <c r="Y296" s="10">
        <f>IF(S296="", "", IF(W296="Green", S296+30, IF(W296="Yellow", S296+7, IF(W296="Red", S296+2, ""))))</f>
        <v>0</v>
      </c>
      <c r="Z296" s="11">
        <f>IF(Y296="", "", (Y296-TODAY()) * 50 - V296 * 10 - G296 * 5 + IF(W296="Red", -20, IF(W296="Yellow", -10, 0)) - IFERROR(INDEX(Analytics!$F$5:$F$20, MATCH(C296, Analytics!$A$5:$A$20, 0)) * 5, 0) + MOD(A296, 7))</f>
        <v>0</v>
      </c>
    </row>
    <row r="297" spans="1:26">
      <c r="A297" s="11">
        <v>296</v>
      </c>
      <c r="B297" s="4" t="s">
        <v>661</v>
      </c>
      <c r="C297" s="12" t="s">
        <v>45</v>
      </c>
      <c r="D297" s="12" t="s">
        <v>45</v>
      </c>
      <c r="E297" s="12" t="s">
        <v>35</v>
      </c>
      <c r="F297" s="11">
        <v>40</v>
      </c>
      <c r="G297" s="11">
        <v>8</v>
      </c>
      <c r="H297" s="12" t="s">
        <v>317</v>
      </c>
      <c r="I297" s="12" t="s">
        <v>150</v>
      </c>
      <c r="J297" s="4" t="s">
        <v>280</v>
      </c>
      <c r="K297" s="4" t="s">
        <v>283</v>
      </c>
      <c r="L297" s="12" t="s">
        <v>140</v>
      </c>
      <c r="M297" s="12" t="s">
        <v>140</v>
      </c>
      <c r="N297" s="4" t="s">
        <v>443</v>
      </c>
      <c r="O297" s="9" t="s">
        <v>304</v>
      </c>
      <c r="P297" s="9" t="s">
        <v>305</v>
      </c>
      <c r="Q297" s="9" t="s">
        <v>306</v>
      </c>
      <c r="R297" s="9" t="s">
        <v>307</v>
      </c>
      <c r="Y297" s="10">
        <f>IF(S297="", "", IF(W297="Green", S297+30, IF(W297="Yellow", S297+7, IF(W297="Red", S297+2, ""))))</f>
        <v>0</v>
      </c>
      <c r="Z297" s="11">
        <f>IF(Y297="", "", (Y297-TODAY()) * 50 - V297 * 10 - G297 * 5 + IF(W297="Red", -20, IF(W297="Yellow", -10, 0)) - IFERROR(INDEX(Analytics!$F$5:$F$20, MATCH(C297, Analytics!$A$5:$A$20, 0)) * 5, 0) + MOD(A297, 7))</f>
        <v>0</v>
      </c>
    </row>
    <row r="298" spans="1:26">
      <c r="A298" s="11">
        <v>297</v>
      </c>
      <c r="B298" s="4" t="s">
        <v>662</v>
      </c>
      <c r="C298" s="12" t="s">
        <v>45</v>
      </c>
      <c r="D298" s="12" t="s">
        <v>45</v>
      </c>
      <c r="E298" s="12" t="s">
        <v>35</v>
      </c>
      <c r="F298" s="11">
        <v>40</v>
      </c>
      <c r="G298" s="11">
        <v>8</v>
      </c>
      <c r="H298" s="12" t="s">
        <v>150</v>
      </c>
      <c r="I298" s="12" t="s">
        <v>150</v>
      </c>
      <c r="J298" s="4" t="s">
        <v>280</v>
      </c>
      <c r="K298" s="4" t="s">
        <v>283</v>
      </c>
      <c r="L298" s="12" t="s">
        <v>140</v>
      </c>
      <c r="M298" s="12" t="s">
        <v>140</v>
      </c>
      <c r="N298" s="4" t="s">
        <v>334</v>
      </c>
      <c r="O298" s="9" t="s">
        <v>304</v>
      </c>
      <c r="P298" s="9" t="s">
        <v>305</v>
      </c>
      <c r="Q298" s="9" t="s">
        <v>306</v>
      </c>
      <c r="R298" s="9" t="s">
        <v>307</v>
      </c>
      <c r="Y298" s="10">
        <f>IF(S298="", "", IF(W298="Green", S298+30, IF(W298="Yellow", S298+7, IF(W298="Red", S298+2, ""))))</f>
        <v>0</v>
      </c>
      <c r="Z298" s="11">
        <f>IF(Y298="", "", (Y298-TODAY()) * 50 - V298 * 10 - G298 * 5 + IF(W298="Red", -20, IF(W298="Yellow", -10, 0)) - IFERROR(INDEX(Analytics!$F$5:$F$20, MATCH(C298, Analytics!$A$5:$A$20, 0)) * 5, 0) + MOD(A298, 7))</f>
        <v>0</v>
      </c>
    </row>
    <row r="299" spans="1:26">
      <c r="A299" s="11">
        <v>298</v>
      </c>
      <c r="B299" s="4" t="s">
        <v>663</v>
      </c>
      <c r="C299" s="12" t="s">
        <v>95</v>
      </c>
      <c r="D299" s="12" t="s">
        <v>45</v>
      </c>
      <c r="E299" s="12" t="s">
        <v>34</v>
      </c>
      <c r="F299" s="11">
        <v>20</v>
      </c>
      <c r="G299" s="11">
        <v>10</v>
      </c>
      <c r="H299" s="12" t="s">
        <v>117</v>
      </c>
      <c r="I299" s="12" t="s">
        <v>117</v>
      </c>
      <c r="J299" s="4" t="s">
        <v>280</v>
      </c>
      <c r="K299" s="4" t="s">
        <v>283</v>
      </c>
      <c r="L299" s="12" t="s">
        <v>140</v>
      </c>
      <c r="M299" s="12" t="s">
        <v>140</v>
      </c>
      <c r="N299" s="4" t="s">
        <v>395</v>
      </c>
      <c r="O299" s="9" t="s">
        <v>304</v>
      </c>
      <c r="P299" s="9" t="s">
        <v>305</v>
      </c>
      <c r="Q299" s="9" t="s">
        <v>306</v>
      </c>
      <c r="R299" s="9" t="s">
        <v>307</v>
      </c>
      <c r="Y299" s="10">
        <f>IF(S299="", "", IF(W299="Green", S299+30, IF(W299="Yellow", S299+7, IF(W299="Red", S299+2, ""))))</f>
        <v>0</v>
      </c>
      <c r="Z299" s="11">
        <f>IF(Y299="", "", (Y299-TODAY()) * 50 - V299 * 10 - G299 * 5 + IF(W299="Red", -20, IF(W299="Yellow", -10, 0)) - IFERROR(INDEX(Analytics!$F$5:$F$20, MATCH(C299, Analytics!$A$5:$A$20, 0)) * 5, 0) + MOD(A299, 7))</f>
        <v>0</v>
      </c>
    </row>
    <row r="300" spans="1:26">
      <c r="A300" s="11">
        <v>299</v>
      </c>
      <c r="B300" s="4" t="s">
        <v>664</v>
      </c>
      <c r="C300" s="12" t="s">
        <v>95</v>
      </c>
      <c r="D300" s="12" t="s">
        <v>45</v>
      </c>
      <c r="E300" s="12" t="s">
        <v>34</v>
      </c>
      <c r="F300" s="11">
        <v>20</v>
      </c>
      <c r="G300" s="11">
        <v>9</v>
      </c>
      <c r="H300" s="12" t="s">
        <v>117</v>
      </c>
      <c r="I300" s="12" t="s">
        <v>117</v>
      </c>
      <c r="J300" s="4" t="s">
        <v>280</v>
      </c>
      <c r="K300" s="4" t="s">
        <v>283</v>
      </c>
      <c r="L300" s="12" t="s">
        <v>140</v>
      </c>
      <c r="M300" s="12" t="s">
        <v>140</v>
      </c>
      <c r="N300" s="4" t="s">
        <v>397</v>
      </c>
      <c r="O300" s="9" t="s">
        <v>304</v>
      </c>
      <c r="P300" s="9" t="s">
        <v>305</v>
      </c>
      <c r="Q300" s="9" t="s">
        <v>306</v>
      </c>
      <c r="R300" s="9" t="s">
        <v>307</v>
      </c>
      <c r="Y300" s="10">
        <f>IF(S300="", "", IF(W300="Green", S300+30, IF(W300="Yellow", S300+7, IF(W300="Red", S300+2, ""))))</f>
        <v>0</v>
      </c>
      <c r="Z300" s="11">
        <f>IF(Y300="", "", (Y300-TODAY()) * 50 - V300 * 10 - G300 * 5 + IF(W300="Red", -20, IF(W300="Yellow", -10, 0)) - IFERROR(INDEX(Analytics!$F$5:$F$20, MATCH(C300, Analytics!$A$5:$A$20, 0)) * 5, 0) + MOD(A300, 7))</f>
        <v>0</v>
      </c>
    </row>
    <row r="301" spans="1:26">
      <c r="A301" s="11">
        <v>300</v>
      </c>
      <c r="B301" s="4" t="s">
        <v>665</v>
      </c>
      <c r="C301" s="12" t="s">
        <v>95</v>
      </c>
      <c r="D301" s="12" t="s">
        <v>45</v>
      </c>
      <c r="E301" s="12" t="s">
        <v>35</v>
      </c>
      <c r="F301" s="11">
        <v>40</v>
      </c>
      <c r="G301" s="11">
        <v>9</v>
      </c>
      <c r="H301" s="12" t="s">
        <v>150</v>
      </c>
      <c r="I301" s="12" t="s">
        <v>117</v>
      </c>
      <c r="J301" s="4" t="s">
        <v>280</v>
      </c>
      <c r="K301" s="4" t="s">
        <v>283</v>
      </c>
      <c r="L301" s="12" t="s">
        <v>140</v>
      </c>
      <c r="M301" s="12" t="s">
        <v>140</v>
      </c>
      <c r="N301" s="4" t="s">
        <v>477</v>
      </c>
      <c r="O301" s="9" t="s">
        <v>304</v>
      </c>
      <c r="P301" s="9" t="s">
        <v>305</v>
      </c>
      <c r="Q301" s="9" t="s">
        <v>306</v>
      </c>
      <c r="R301" s="9" t="s">
        <v>307</v>
      </c>
      <c r="Y301" s="10">
        <f>IF(S301="", "", IF(W301="Green", S301+30, IF(W301="Yellow", S301+7, IF(W301="Red", S301+2, ""))))</f>
        <v>0</v>
      </c>
      <c r="Z301" s="11">
        <f>IF(Y301="", "", (Y301-TODAY()) * 50 - V301 * 10 - G301 * 5 + IF(W301="Red", -20, IF(W301="Yellow", -10, 0)) - IFERROR(INDEX(Analytics!$F$5:$F$20, MATCH(C301, Analytics!$A$5:$A$20, 0)) * 5, 0) + MOD(A301, 7))</f>
        <v>0</v>
      </c>
    </row>
    <row r="302" spans="1:26">
      <c r="A302" s="11">
        <v>301</v>
      </c>
      <c r="B302" s="4" t="s">
        <v>666</v>
      </c>
      <c r="C302" s="12" t="s">
        <v>95</v>
      </c>
      <c r="D302" s="12" t="s">
        <v>45</v>
      </c>
      <c r="E302" s="12" t="s">
        <v>35</v>
      </c>
      <c r="F302" s="11">
        <v>40</v>
      </c>
      <c r="G302" s="11">
        <v>9</v>
      </c>
      <c r="H302" s="12" t="s">
        <v>150</v>
      </c>
      <c r="I302" s="12" t="s">
        <v>117</v>
      </c>
      <c r="J302" s="4" t="s">
        <v>280</v>
      </c>
      <c r="K302" s="4" t="s">
        <v>283</v>
      </c>
      <c r="L302" s="12" t="s">
        <v>140</v>
      </c>
      <c r="M302" s="12" t="s">
        <v>140</v>
      </c>
      <c r="N302" s="4" t="s">
        <v>404</v>
      </c>
      <c r="O302" s="9" t="s">
        <v>304</v>
      </c>
      <c r="P302" s="9" t="s">
        <v>305</v>
      </c>
      <c r="Q302" s="9" t="s">
        <v>306</v>
      </c>
      <c r="R302" s="9" t="s">
        <v>307</v>
      </c>
      <c r="Y302" s="10">
        <f>IF(S302="", "", IF(W302="Green", S302+30, IF(W302="Yellow", S302+7, IF(W302="Red", S302+2, ""))))</f>
        <v>0</v>
      </c>
      <c r="Z302" s="11">
        <f>IF(Y302="", "", (Y302-TODAY()) * 50 - V302 * 10 - G302 * 5 + IF(W302="Red", -20, IF(W302="Yellow", -10, 0)) - IFERROR(INDEX(Analytics!$F$5:$F$20, MATCH(C302, Analytics!$A$5:$A$20, 0)) * 5, 0) + MOD(A302, 7))</f>
        <v>0</v>
      </c>
    </row>
    <row r="303" spans="1:26">
      <c r="A303" s="11">
        <v>302</v>
      </c>
      <c r="B303" s="4" t="s">
        <v>667</v>
      </c>
      <c r="C303" s="12" t="s">
        <v>95</v>
      </c>
      <c r="D303" s="12" t="s">
        <v>45</v>
      </c>
      <c r="E303" s="12" t="s">
        <v>34</v>
      </c>
      <c r="F303" s="11">
        <v>20</v>
      </c>
      <c r="G303" s="11">
        <v>8</v>
      </c>
      <c r="H303" s="12" t="s">
        <v>317</v>
      </c>
      <c r="I303" s="12" t="s">
        <v>150</v>
      </c>
      <c r="J303" s="4" t="s">
        <v>280</v>
      </c>
      <c r="K303" s="4" t="s">
        <v>283</v>
      </c>
      <c r="L303" s="12" t="s">
        <v>140</v>
      </c>
      <c r="M303" s="12" t="s">
        <v>140</v>
      </c>
      <c r="N303" s="4" t="s">
        <v>324</v>
      </c>
      <c r="O303" s="9" t="s">
        <v>304</v>
      </c>
      <c r="P303" s="9" t="s">
        <v>305</v>
      </c>
      <c r="Q303" s="9" t="s">
        <v>306</v>
      </c>
      <c r="R303" s="9" t="s">
        <v>307</v>
      </c>
      <c r="Y303" s="10">
        <f>IF(S303="", "", IF(W303="Green", S303+30, IF(W303="Yellow", S303+7, IF(W303="Red", S303+2, ""))))</f>
        <v>0</v>
      </c>
      <c r="Z303" s="11">
        <f>IF(Y303="", "", (Y303-TODAY()) * 50 - V303 * 10 - G303 * 5 + IF(W303="Red", -20, IF(W303="Yellow", -10, 0)) - IFERROR(INDEX(Analytics!$F$5:$F$20, MATCH(C303, Analytics!$A$5:$A$20, 0)) * 5, 0) + MOD(A303, 7))</f>
        <v>0</v>
      </c>
    </row>
    <row r="304" spans="1:26">
      <c r="A304" s="11">
        <v>303</v>
      </c>
      <c r="B304" s="4" t="s">
        <v>668</v>
      </c>
      <c r="C304" s="12" t="s">
        <v>95</v>
      </c>
      <c r="D304" s="12" t="s">
        <v>45</v>
      </c>
      <c r="E304" s="12" t="s">
        <v>35</v>
      </c>
      <c r="F304" s="11">
        <v>40</v>
      </c>
      <c r="G304" s="11">
        <v>8</v>
      </c>
      <c r="H304" s="12" t="s">
        <v>150</v>
      </c>
      <c r="I304" s="12" t="s">
        <v>150</v>
      </c>
      <c r="J304" s="4" t="s">
        <v>280</v>
      </c>
      <c r="K304" s="4" t="s">
        <v>283</v>
      </c>
      <c r="L304" s="12" t="s">
        <v>140</v>
      </c>
      <c r="M304" s="12" t="s">
        <v>140</v>
      </c>
      <c r="N304" s="4" t="s">
        <v>336</v>
      </c>
      <c r="O304" s="9" t="s">
        <v>304</v>
      </c>
      <c r="P304" s="9" t="s">
        <v>305</v>
      </c>
      <c r="Q304" s="9" t="s">
        <v>306</v>
      </c>
      <c r="R304" s="9" t="s">
        <v>307</v>
      </c>
      <c r="Y304" s="10">
        <f>IF(S304="", "", IF(W304="Green", S304+30, IF(W304="Yellow", S304+7, IF(W304="Red", S304+2, ""))))</f>
        <v>0</v>
      </c>
      <c r="Z304" s="11">
        <f>IF(Y304="", "", (Y304-TODAY()) * 50 - V304 * 10 - G304 * 5 + IF(W304="Red", -20, IF(W304="Yellow", -10, 0)) - IFERROR(INDEX(Analytics!$F$5:$F$20, MATCH(C304, Analytics!$A$5:$A$20, 0)) * 5, 0) + MOD(A304, 7))</f>
        <v>0</v>
      </c>
    </row>
    <row r="305" spans="1:26">
      <c r="A305" s="11">
        <v>304</v>
      </c>
      <c r="B305" s="4" t="s">
        <v>669</v>
      </c>
      <c r="C305" s="12" t="s">
        <v>95</v>
      </c>
      <c r="D305" s="12" t="s">
        <v>45</v>
      </c>
      <c r="E305" s="12" t="s">
        <v>35</v>
      </c>
      <c r="F305" s="11">
        <v>40</v>
      </c>
      <c r="G305" s="11">
        <v>9</v>
      </c>
      <c r="H305" s="12" t="s">
        <v>117</v>
      </c>
      <c r="I305" s="12" t="s">
        <v>117</v>
      </c>
      <c r="J305" s="4" t="s">
        <v>280</v>
      </c>
      <c r="K305" s="4" t="s">
        <v>283</v>
      </c>
      <c r="L305" s="12" t="s">
        <v>140</v>
      </c>
      <c r="M305" s="12" t="s">
        <v>140</v>
      </c>
      <c r="N305" s="4" t="s">
        <v>436</v>
      </c>
      <c r="O305" s="9" t="s">
        <v>304</v>
      </c>
      <c r="P305" s="9" t="s">
        <v>305</v>
      </c>
      <c r="Q305" s="9" t="s">
        <v>306</v>
      </c>
      <c r="R305" s="9" t="s">
        <v>307</v>
      </c>
      <c r="Y305" s="10">
        <f>IF(S305="", "", IF(W305="Green", S305+30, IF(W305="Yellow", S305+7, IF(W305="Red", S305+2, ""))))</f>
        <v>0</v>
      </c>
      <c r="Z305" s="11">
        <f>IF(Y305="", "", (Y305-TODAY()) * 50 - V305 * 10 - G305 * 5 + IF(W305="Red", -20, IF(W305="Yellow", -10, 0)) - IFERROR(INDEX(Analytics!$F$5:$F$20, MATCH(C305, Analytics!$A$5:$A$20, 0)) * 5, 0) + MOD(A305, 7))</f>
        <v>0</v>
      </c>
    </row>
    <row r="306" spans="1:26">
      <c r="A306" s="11">
        <v>305</v>
      </c>
      <c r="B306" s="4" t="s">
        <v>670</v>
      </c>
      <c r="C306" s="12" t="s">
        <v>95</v>
      </c>
      <c r="D306" s="12" t="s">
        <v>45</v>
      </c>
      <c r="E306" s="12" t="s">
        <v>34</v>
      </c>
      <c r="F306" s="11">
        <v>20</v>
      </c>
      <c r="G306" s="11">
        <v>8</v>
      </c>
      <c r="H306" s="12" t="s">
        <v>150</v>
      </c>
      <c r="I306" s="12" t="s">
        <v>150</v>
      </c>
      <c r="J306" s="4" t="s">
        <v>280</v>
      </c>
      <c r="K306" s="4" t="s">
        <v>283</v>
      </c>
      <c r="L306" s="12" t="s">
        <v>140</v>
      </c>
      <c r="M306" s="12" t="s">
        <v>140</v>
      </c>
      <c r="N306" s="4" t="s">
        <v>354</v>
      </c>
      <c r="O306" s="9" t="s">
        <v>304</v>
      </c>
      <c r="P306" s="9" t="s">
        <v>305</v>
      </c>
      <c r="Q306" s="9" t="s">
        <v>306</v>
      </c>
      <c r="R306" s="9" t="s">
        <v>307</v>
      </c>
      <c r="Y306" s="10">
        <f>IF(S306="", "", IF(W306="Green", S306+30, IF(W306="Yellow", S306+7, IF(W306="Red", S306+2, ""))))</f>
        <v>0</v>
      </c>
      <c r="Z306" s="11">
        <f>IF(Y306="", "", (Y306-TODAY()) * 50 - V306 * 10 - G306 * 5 + IF(W306="Red", -20, IF(W306="Yellow", -10, 0)) - IFERROR(INDEX(Analytics!$F$5:$F$20, MATCH(C306, Analytics!$A$5:$A$20, 0)) * 5, 0) + MOD(A306, 7))</f>
        <v>0</v>
      </c>
    </row>
    <row r="307" spans="1:26">
      <c r="A307" s="11">
        <v>306</v>
      </c>
      <c r="B307" s="4" t="s">
        <v>671</v>
      </c>
      <c r="C307" s="12" t="s">
        <v>95</v>
      </c>
      <c r="D307" s="12" t="s">
        <v>45</v>
      </c>
      <c r="E307" s="12" t="s">
        <v>34</v>
      </c>
      <c r="F307" s="11">
        <v>20</v>
      </c>
      <c r="G307" s="11">
        <v>8</v>
      </c>
      <c r="H307" s="12" t="s">
        <v>150</v>
      </c>
      <c r="I307" s="12" t="s">
        <v>150</v>
      </c>
      <c r="J307" s="4" t="s">
        <v>280</v>
      </c>
      <c r="K307" s="4" t="s">
        <v>283</v>
      </c>
      <c r="L307" s="12" t="s">
        <v>140</v>
      </c>
      <c r="M307" s="12" t="s">
        <v>140</v>
      </c>
      <c r="N307" s="4" t="s">
        <v>386</v>
      </c>
      <c r="O307" s="9" t="s">
        <v>304</v>
      </c>
      <c r="P307" s="9" t="s">
        <v>305</v>
      </c>
      <c r="Q307" s="9" t="s">
        <v>306</v>
      </c>
      <c r="R307" s="9" t="s">
        <v>307</v>
      </c>
      <c r="Y307" s="10">
        <f>IF(S307="", "", IF(W307="Green", S307+30, IF(W307="Yellow", S307+7, IF(W307="Red", S307+2, ""))))</f>
        <v>0</v>
      </c>
      <c r="Z307" s="11">
        <f>IF(Y307="", "", (Y307-TODAY()) * 50 - V307 * 10 - G307 * 5 + IF(W307="Red", -20, IF(W307="Yellow", -10, 0)) - IFERROR(INDEX(Analytics!$F$5:$F$20, MATCH(C307, Analytics!$A$5:$A$20, 0)) * 5, 0) + MOD(A307, 7))</f>
        <v>0</v>
      </c>
    </row>
    <row r="308" spans="1:26">
      <c r="A308" s="11">
        <v>307</v>
      </c>
      <c r="B308" s="4" t="s">
        <v>672</v>
      </c>
      <c r="C308" s="12" t="s">
        <v>95</v>
      </c>
      <c r="D308" s="12" t="s">
        <v>45</v>
      </c>
      <c r="E308" s="12" t="s">
        <v>34</v>
      </c>
      <c r="F308" s="11">
        <v>20</v>
      </c>
      <c r="G308" s="11">
        <v>8</v>
      </c>
      <c r="H308" s="12" t="s">
        <v>150</v>
      </c>
      <c r="I308" s="12" t="s">
        <v>150</v>
      </c>
      <c r="J308" s="4" t="s">
        <v>280</v>
      </c>
      <c r="K308" s="4" t="s">
        <v>283</v>
      </c>
      <c r="L308" s="12" t="s">
        <v>140</v>
      </c>
      <c r="M308" s="12" t="s">
        <v>140</v>
      </c>
      <c r="N308" s="4" t="s">
        <v>75</v>
      </c>
      <c r="O308" s="9" t="s">
        <v>304</v>
      </c>
      <c r="P308" s="9" t="s">
        <v>305</v>
      </c>
      <c r="Q308" s="9" t="s">
        <v>306</v>
      </c>
      <c r="R308" s="9" t="s">
        <v>307</v>
      </c>
      <c r="Y308" s="10">
        <f>IF(S308="", "", IF(W308="Green", S308+30, IF(W308="Yellow", S308+7, IF(W308="Red", S308+2, ""))))</f>
        <v>0</v>
      </c>
      <c r="Z308" s="11">
        <f>IF(Y308="", "", (Y308-TODAY()) * 50 - V308 * 10 - G308 * 5 + IF(W308="Red", -20, IF(W308="Yellow", -10, 0)) - IFERROR(INDEX(Analytics!$F$5:$F$20, MATCH(C308, Analytics!$A$5:$A$20, 0)) * 5, 0) + MOD(A308, 7))</f>
        <v>0</v>
      </c>
    </row>
  </sheetData>
  <conditionalFormatting sqref="V2:V308">
    <cfRule type="cellIs" dxfId="5" priority="6" operator="between">
      <formula>1</formula>
      <formula>2</formula>
    </cfRule>
  </conditionalFormatting>
  <conditionalFormatting sqref="W2:W308">
    <cfRule type="cellIs" dxfId="0" priority="1" operator="equal">
      <formula>"Green"</formula>
    </cfRule>
    <cfRule type="cellIs" dxfId="1" priority="2" operator="equal">
      <formula>"Yellow"</formula>
    </cfRule>
    <cfRule type="cellIs" dxfId="2" priority="3" operator="equal">
      <formula>"Red"</formula>
    </cfRule>
  </conditionalFormatting>
  <conditionalFormatting sqref="Y2:Y308">
    <cfRule type="cellIs" dxfId="3" priority="4" operator="equal">
      <formula>TODAY()</formula>
    </cfRule>
    <cfRule type="cellIs" dxfId="4" priority="5" operator="lessThan">
      <formula>TODAY()</formula>
    </cfRule>
  </conditionalFormatting>
  <dataValidations count="4">
    <dataValidation type="list" allowBlank="1" showInputMessage="1" showErrorMessage="1" sqref="E2:E308">
      <formula1>Settings!$B$2:$B$4</formula1>
    </dataValidation>
    <dataValidation type="list" allowBlank="1" showInputMessage="1" showErrorMessage="1" sqref="U2:U308">
      <formula1>"Yes,No"</formula1>
    </dataValidation>
    <dataValidation type="list" allowBlank="1" showInputMessage="1" showErrorMessage="1" sqref="V2:V308">
      <formula1>Settings!$F$2:$F$6</formula1>
    </dataValidation>
    <dataValidation type="list" allowBlank="1" showInputMessage="1" showErrorMessage="1" sqref="W2:W308">
      <formula1>Settings!$C$2:$C$4</formula1>
    </dataValidation>
  </dataValidations>
  <hyperlinks>
    <hyperlink ref="O2" r:id="rId1"/>
    <hyperlink ref="P2" r:id="rId2"/>
    <hyperlink ref="Q2" r:id="rId3"/>
    <hyperlink ref="R2" r:id="rId4"/>
    <hyperlink ref="O3" r:id="rId5"/>
    <hyperlink ref="P3" r:id="rId6"/>
    <hyperlink ref="Q3" r:id="rId7"/>
    <hyperlink ref="R3" r:id="rId8"/>
    <hyperlink ref="O4" r:id="rId9"/>
    <hyperlink ref="P4" r:id="rId10"/>
    <hyperlink ref="Q4" r:id="rId11"/>
    <hyperlink ref="R4" r:id="rId12"/>
    <hyperlink ref="O5" r:id="rId13"/>
    <hyperlink ref="P5" r:id="rId14"/>
    <hyperlink ref="Q5" r:id="rId15"/>
    <hyperlink ref="R5" r:id="rId16"/>
    <hyperlink ref="O6" r:id="rId17"/>
    <hyperlink ref="P6" r:id="rId18"/>
    <hyperlink ref="Q6" r:id="rId19"/>
    <hyperlink ref="R6" r:id="rId20"/>
    <hyperlink ref="O7" r:id="rId21"/>
    <hyperlink ref="P7" r:id="rId22"/>
    <hyperlink ref="Q7" r:id="rId23"/>
    <hyperlink ref="R7" r:id="rId24"/>
    <hyperlink ref="O8" r:id="rId25"/>
    <hyperlink ref="P8" r:id="rId26"/>
    <hyperlink ref="Q8" r:id="rId27"/>
    <hyperlink ref="R8" r:id="rId28"/>
    <hyperlink ref="O9" r:id="rId29"/>
    <hyperlink ref="P9" r:id="rId30"/>
    <hyperlink ref="Q9" r:id="rId31"/>
    <hyperlink ref="R9" r:id="rId32"/>
    <hyperlink ref="O10" r:id="rId33"/>
    <hyperlink ref="P10" r:id="rId34"/>
    <hyperlink ref="Q10" r:id="rId35"/>
    <hyperlink ref="R10" r:id="rId36"/>
    <hyperlink ref="O11" r:id="rId37"/>
    <hyperlink ref="P11" r:id="rId38"/>
    <hyperlink ref="Q11" r:id="rId39"/>
    <hyperlink ref="R11" r:id="rId40"/>
    <hyperlink ref="O12" r:id="rId41"/>
    <hyperlink ref="P12" r:id="rId42"/>
    <hyperlink ref="Q12" r:id="rId43"/>
    <hyperlink ref="R12" r:id="rId44"/>
    <hyperlink ref="O13" r:id="rId45"/>
    <hyperlink ref="P13" r:id="rId46"/>
    <hyperlink ref="Q13" r:id="rId47"/>
    <hyperlink ref="R13" r:id="rId48"/>
    <hyperlink ref="O14" r:id="rId49"/>
    <hyperlink ref="P14" r:id="rId50"/>
    <hyperlink ref="Q14" r:id="rId51"/>
    <hyperlink ref="R14" r:id="rId52"/>
    <hyperlink ref="O15" r:id="rId53"/>
    <hyperlink ref="P15" r:id="rId54"/>
    <hyperlink ref="Q15" r:id="rId55"/>
    <hyperlink ref="R15" r:id="rId56"/>
    <hyperlink ref="O16" r:id="rId57"/>
    <hyperlink ref="P16" r:id="rId58"/>
    <hyperlink ref="Q16" r:id="rId59"/>
    <hyperlink ref="R16" r:id="rId60"/>
    <hyperlink ref="O17" r:id="rId61"/>
    <hyperlink ref="P17" r:id="rId62"/>
    <hyperlink ref="Q17" r:id="rId63"/>
    <hyperlink ref="R17" r:id="rId64"/>
    <hyperlink ref="O18" r:id="rId65"/>
    <hyperlink ref="P18" r:id="rId66"/>
    <hyperlink ref="Q18" r:id="rId67"/>
    <hyperlink ref="R18" r:id="rId68"/>
    <hyperlink ref="O19" r:id="rId69"/>
    <hyperlink ref="P19" r:id="rId70"/>
    <hyperlink ref="Q19" r:id="rId71"/>
    <hyperlink ref="R19" r:id="rId72"/>
    <hyperlink ref="O20" r:id="rId73"/>
    <hyperlink ref="P20" r:id="rId74"/>
    <hyperlink ref="Q20" r:id="rId75"/>
    <hyperlink ref="R20" r:id="rId76"/>
    <hyperlink ref="O21" r:id="rId77"/>
    <hyperlink ref="P21" r:id="rId78"/>
    <hyperlink ref="Q21" r:id="rId79"/>
    <hyperlink ref="R21" r:id="rId80"/>
    <hyperlink ref="O22" r:id="rId81"/>
    <hyperlink ref="P22" r:id="rId82"/>
    <hyperlink ref="Q22" r:id="rId83"/>
    <hyperlink ref="R22" r:id="rId84"/>
    <hyperlink ref="O23" r:id="rId85"/>
    <hyperlink ref="P23" r:id="rId86"/>
    <hyperlink ref="Q23" r:id="rId87"/>
    <hyperlink ref="R23" r:id="rId88"/>
    <hyperlink ref="O24" r:id="rId89"/>
    <hyperlink ref="P24" r:id="rId90"/>
    <hyperlink ref="Q24" r:id="rId91"/>
    <hyperlink ref="R24" r:id="rId92"/>
    <hyperlink ref="O25" r:id="rId93"/>
    <hyperlink ref="P25" r:id="rId94"/>
    <hyperlink ref="Q25" r:id="rId95"/>
    <hyperlink ref="R25" r:id="rId96"/>
    <hyperlink ref="O26" r:id="rId97"/>
    <hyperlink ref="P26" r:id="rId98"/>
    <hyperlink ref="Q26" r:id="rId99"/>
    <hyperlink ref="R26" r:id="rId100"/>
    <hyperlink ref="O27" r:id="rId101"/>
    <hyperlink ref="P27" r:id="rId102"/>
    <hyperlink ref="Q27" r:id="rId103"/>
    <hyperlink ref="R27" r:id="rId104"/>
    <hyperlink ref="O28" r:id="rId105"/>
    <hyperlink ref="P28" r:id="rId106"/>
    <hyperlink ref="Q28" r:id="rId107"/>
    <hyperlink ref="R28" r:id="rId108"/>
    <hyperlink ref="O29" r:id="rId109"/>
    <hyperlink ref="P29" r:id="rId110"/>
    <hyperlink ref="Q29" r:id="rId111"/>
    <hyperlink ref="R29" r:id="rId112"/>
    <hyperlink ref="O30" r:id="rId113"/>
    <hyperlink ref="P30" r:id="rId114"/>
    <hyperlink ref="Q30" r:id="rId115"/>
    <hyperlink ref="R30" r:id="rId116"/>
    <hyperlink ref="O31" r:id="rId117"/>
    <hyperlink ref="P31" r:id="rId118"/>
    <hyperlink ref="Q31" r:id="rId119"/>
    <hyperlink ref="R31" r:id="rId120"/>
    <hyperlink ref="O32" r:id="rId121"/>
    <hyperlink ref="P32" r:id="rId122"/>
    <hyperlink ref="Q32" r:id="rId123"/>
    <hyperlink ref="R32" r:id="rId124"/>
    <hyperlink ref="O33" r:id="rId125"/>
    <hyperlink ref="P33" r:id="rId126"/>
    <hyperlink ref="Q33" r:id="rId127"/>
    <hyperlink ref="R33" r:id="rId128"/>
    <hyperlink ref="O34" r:id="rId129"/>
    <hyperlink ref="P34" r:id="rId130"/>
    <hyperlink ref="Q34" r:id="rId131"/>
    <hyperlink ref="R34" r:id="rId132"/>
    <hyperlink ref="O35" r:id="rId133"/>
    <hyperlink ref="P35" r:id="rId134"/>
    <hyperlink ref="Q35" r:id="rId135"/>
    <hyperlink ref="R35" r:id="rId136"/>
    <hyperlink ref="O36" r:id="rId137"/>
    <hyperlink ref="P36" r:id="rId138"/>
    <hyperlink ref="Q36" r:id="rId139"/>
    <hyperlink ref="R36" r:id="rId140"/>
    <hyperlink ref="O37" r:id="rId141"/>
    <hyperlink ref="P37" r:id="rId142"/>
    <hyperlink ref="Q37" r:id="rId143"/>
    <hyperlink ref="R37" r:id="rId144"/>
    <hyperlink ref="O38" r:id="rId145"/>
    <hyperlink ref="P38" r:id="rId146"/>
    <hyperlink ref="Q38" r:id="rId147"/>
    <hyperlink ref="R38" r:id="rId148"/>
    <hyperlink ref="O39" r:id="rId149"/>
    <hyperlink ref="P39" r:id="rId150"/>
    <hyperlink ref="Q39" r:id="rId151"/>
    <hyperlink ref="R39" r:id="rId152"/>
    <hyperlink ref="O40" r:id="rId153"/>
    <hyperlink ref="P40" r:id="rId154"/>
    <hyperlink ref="Q40" r:id="rId155"/>
    <hyperlink ref="R40" r:id="rId156"/>
    <hyperlink ref="O41" r:id="rId157"/>
    <hyperlink ref="P41" r:id="rId158"/>
    <hyperlink ref="Q41" r:id="rId159"/>
    <hyperlink ref="R41" r:id="rId160"/>
    <hyperlink ref="O42" r:id="rId161"/>
    <hyperlink ref="P42" r:id="rId162"/>
    <hyperlink ref="Q42" r:id="rId163"/>
    <hyperlink ref="R42" r:id="rId164"/>
    <hyperlink ref="O43" r:id="rId165"/>
    <hyperlink ref="P43" r:id="rId166"/>
    <hyperlink ref="Q43" r:id="rId167"/>
    <hyperlink ref="R43" r:id="rId168"/>
    <hyperlink ref="O44" r:id="rId169"/>
    <hyperlink ref="P44" r:id="rId170"/>
    <hyperlink ref="Q44" r:id="rId171"/>
    <hyperlink ref="R44" r:id="rId172"/>
    <hyperlink ref="O45" r:id="rId173"/>
    <hyperlink ref="P45" r:id="rId174"/>
    <hyperlink ref="Q45" r:id="rId175"/>
    <hyperlink ref="R45" r:id="rId176"/>
    <hyperlink ref="O46" r:id="rId177"/>
    <hyperlink ref="P46" r:id="rId178"/>
    <hyperlink ref="Q46" r:id="rId179"/>
    <hyperlink ref="R46" r:id="rId180"/>
    <hyperlink ref="O47" r:id="rId181"/>
    <hyperlink ref="P47" r:id="rId182"/>
    <hyperlink ref="Q47" r:id="rId183"/>
    <hyperlink ref="R47" r:id="rId184"/>
    <hyperlink ref="O48" r:id="rId185"/>
    <hyperlink ref="P48" r:id="rId186"/>
    <hyperlink ref="Q48" r:id="rId187"/>
    <hyperlink ref="R48" r:id="rId188"/>
    <hyperlink ref="O49" r:id="rId189"/>
    <hyperlink ref="P49" r:id="rId190"/>
    <hyperlink ref="Q49" r:id="rId191"/>
    <hyperlink ref="R49" r:id="rId192"/>
    <hyperlink ref="O50" r:id="rId193"/>
    <hyperlink ref="P50" r:id="rId194"/>
    <hyperlink ref="Q50" r:id="rId195"/>
    <hyperlink ref="R50" r:id="rId196"/>
    <hyperlink ref="O51" r:id="rId197"/>
    <hyperlink ref="P51" r:id="rId198"/>
    <hyperlink ref="Q51" r:id="rId199"/>
    <hyperlink ref="R51" r:id="rId200"/>
    <hyperlink ref="O52" r:id="rId201"/>
    <hyperlink ref="P52" r:id="rId202"/>
    <hyperlink ref="Q52" r:id="rId203"/>
    <hyperlink ref="R52" r:id="rId204"/>
    <hyperlink ref="O53" r:id="rId205"/>
    <hyperlink ref="P53" r:id="rId206"/>
    <hyperlink ref="Q53" r:id="rId207"/>
    <hyperlink ref="R53" r:id="rId208"/>
    <hyperlink ref="O54" r:id="rId209"/>
    <hyperlink ref="P54" r:id="rId210"/>
    <hyperlink ref="Q54" r:id="rId211"/>
    <hyperlink ref="R54" r:id="rId212"/>
    <hyperlink ref="O55" r:id="rId213"/>
    <hyperlink ref="P55" r:id="rId214"/>
    <hyperlink ref="Q55" r:id="rId215"/>
    <hyperlink ref="R55" r:id="rId216"/>
    <hyperlink ref="O56" r:id="rId217"/>
    <hyperlink ref="P56" r:id="rId218"/>
    <hyperlink ref="Q56" r:id="rId219"/>
    <hyperlink ref="R56" r:id="rId220"/>
    <hyperlink ref="O57" r:id="rId221"/>
    <hyperlink ref="P57" r:id="rId222"/>
    <hyperlink ref="Q57" r:id="rId223"/>
    <hyperlink ref="R57" r:id="rId224"/>
    <hyperlink ref="O58" r:id="rId225"/>
    <hyperlink ref="P58" r:id="rId226"/>
    <hyperlink ref="Q58" r:id="rId227"/>
    <hyperlink ref="R58" r:id="rId228"/>
    <hyperlink ref="O59" r:id="rId229"/>
    <hyperlink ref="P59" r:id="rId230"/>
    <hyperlink ref="Q59" r:id="rId231"/>
    <hyperlink ref="R59" r:id="rId232"/>
    <hyperlink ref="O60" r:id="rId233"/>
    <hyperlink ref="P60" r:id="rId234"/>
    <hyperlink ref="Q60" r:id="rId235"/>
    <hyperlink ref="R60" r:id="rId236"/>
    <hyperlink ref="O61" r:id="rId237"/>
    <hyperlink ref="P61" r:id="rId238"/>
    <hyperlink ref="Q61" r:id="rId239"/>
    <hyperlink ref="R61" r:id="rId240"/>
    <hyperlink ref="O62" r:id="rId241"/>
    <hyperlink ref="P62" r:id="rId242"/>
    <hyperlink ref="Q62" r:id="rId243"/>
    <hyperlink ref="R62" r:id="rId244"/>
    <hyperlink ref="O63" r:id="rId245"/>
    <hyperlink ref="P63" r:id="rId246"/>
    <hyperlink ref="Q63" r:id="rId247"/>
    <hyperlink ref="R63" r:id="rId248"/>
    <hyperlink ref="O64" r:id="rId249"/>
    <hyperlink ref="P64" r:id="rId250"/>
    <hyperlink ref="Q64" r:id="rId251"/>
    <hyperlink ref="R64" r:id="rId252"/>
    <hyperlink ref="O65" r:id="rId253"/>
    <hyperlink ref="P65" r:id="rId254"/>
    <hyperlink ref="Q65" r:id="rId255"/>
    <hyperlink ref="R65" r:id="rId256"/>
    <hyperlink ref="O66" r:id="rId257"/>
    <hyperlink ref="P66" r:id="rId258"/>
    <hyperlink ref="Q66" r:id="rId259"/>
    <hyperlink ref="R66" r:id="rId260"/>
    <hyperlink ref="O67" r:id="rId261"/>
    <hyperlink ref="P67" r:id="rId262"/>
    <hyperlink ref="Q67" r:id="rId263"/>
    <hyperlink ref="R67" r:id="rId264"/>
    <hyperlink ref="O68" r:id="rId265"/>
    <hyperlink ref="P68" r:id="rId266"/>
    <hyperlink ref="Q68" r:id="rId267"/>
    <hyperlink ref="R68" r:id="rId268"/>
    <hyperlink ref="O69" r:id="rId269"/>
    <hyperlink ref="P69" r:id="rId270"/>
    <hyperlink ref="Q69" r:id="rId271"/>
    <hyperlink ref="R69" r:id="rId272"/>
    <hyperlink ref="O70" r:id="rId273"/>
    <hyperlink ref="P70" r:id="rId274"/>
    <hyperlink ref="Q70" r:id="rId275"/>
    <hyperlink ref="R70" r:id="rId276"/>
    <hyperlink ref="O71" r:id="rId277"/>
    <hyperlink ref="P71" r:id="rId278"/>
    <hyperlink ref="Q71" r:id="rId279"/>
    <hyperlink ref="R71" r:id="rId280"/>
    <hyperlink ref="O72" r:id="rId281"/>
    <hyperlink ref="P72" r:id="rId282"/>
    <hyperlink ref="Q72" r:id="rId283"/>
    <hyperlink ref="R72" r:id="rId284"/>
    <hyperlink ref="O73" r:id="rId285"/>
    <hyperlink ref="P73" r:id="rId286"/>
    <hyperlink ref="Q73" r:id="rId287"/>
    <hyperlink ref="R73" r:id="rId288"/>
    <hyperlink ref="O74" r:id="rId289"/>
    <hyperlink ref="P74" r:id="rId290"/>
    <hyperlink ref="Q74" r:id="rId291"/>
    <hyperlink ref="R74" r:id="rId292"/>
    <hyperlink ref="O75" r:id="rId293"/>
    <hyperlink ref="P75" r:id="rId294"/>
    <hyperlink ref="Q75" r:id="rId295"/>
    <hyperlink ref="R75" r:id="rId296"/>
    <hyperlink ref="O76" r:id="rId297"/>
    <hyperlink ref="P76" r:id="rId298"/>
    <hyperlink ref="Q76" r:id="rId299"/>
    <hyperlink ref="R76" r:id="rId300"/>
    <hyperlink ref="O77" r:id="rId301"/>
    <hyperlink ref="P77" r:id="rId302"/>
    <hyperlink ref="Q77" r:id="rId303"/>
    <hyperlink ref="R77" r:id="rId304"/>
    <hyperlink ref="O78" r:id="rId305"/>
    <hyperlink ref="P78" r:id="rId306"/>
    <hyperlink ref="Q78" r:id="rId307"/>
    <hyperlink ref="R78" r:id="rId308"/>
    <hyperlink ref="O79" r:id="rId309"/>
    <hyperlink ref="P79" r:id="rId310"/>
    <hyperlink ref="Q79" r:id="rId311"/>
    <hyperlink ref="R79" r:id="rId312"/>
    <hyperlink ref="O80" r:id="rId313"/>
    <hyperlink ref="P80" r:id="rId314"/>
    <hyperlink ref="Q80" r:id="rId315"/>
    <hyperlink ref="R80" r:id="rId316"/>
    <hyperlink ref="O81" r:id="rId317"/>
    <hyperlink ref="P81" r:id="rId318"/>
    <hyperlink ref="Q81" r:id="rId319"/>
    <hyperlink ref="R81" r:id="rId320"/>
    <hyperlink ref="O82" r:id="rId321"/>
    <hyperlink ref="P82" r:id="rId322"/>
    <hyperlink ref="Q82" r:id="rId323"/>
    <hyperlink ref="R82" r:id="rId324"/>
    <hyperlink ref="O83" r:id="rId325"/>
    <hyperlink ref="P83" r:id="rId326"/>
    <hyperlink ref="Q83" r:id="rId327"/>
    <hyperlink ref="R83" r:id="rId328"/>
    <hyperlink ref="O84" r:id="rId329"/>
    <hyperlink ref="P84" r:id="rId330"/>
    <hyperlink ref="Q84" r:id="rId331"/>
    <hyperlink ref="R84" r:id="rId332"/>
    <hyperlink ref="O85" r:id="rId333"/>
    <hyperlink ref="P85" r:id="rId334"/>
    <hyperlink ref="Q85" r:id="rId335"/>
    <hyperlink ref="R85" r:id="rId336"/>
    <hyperlink ref="O86" r:id="rId337"/>
    <hyperlink ref="P86" r:id="rId338"/>
    <hyperlink ref="Q86" r:id="rId339"/>
    <hyperlink ref="R86" r:id="rId340"/>
    <hyperlink ref="O87" r:id="rId341"/>
    <hyperlink ref="P87" r:id="rId342"/>
    <hyperlink ref="Q87" r:id="rId343"/>
    <hyperlink ref="R87" r:id="rId344"/>
    <hyperlink ref="O88" r:id="rId345"/>
    <hyperlink ref="P88" r:id="rId346"/>
    <hyperlink ref="Q88" r:id="rId347"/>
    <hyperlink ref="R88" r:id="rId348"/>
    <hyperlink ref="O89" r:id="rId349"/>
    <hyperlink ref="P89" r:id="rId350"/>
    <hyperlink ref="Q89" r:id="rId351"/>
    <hyperlink ref="R89" r:id="rId352"/>
    <hyperlink ref="O90" r:id="rId353"/>
    <hyperlink ref="P90" r:id="rId354"/>
    <hyperlink ref="Q90" r:id="rId355"/>
    <hyperlink ref="R90" r:id="rId356"/>
    <hyperlink ref="O91" r:id="rId357"/>
    <hyperlink ref="P91" r:id="rId358"/>
    <hyperlink ref="Q91" r:id="rId359"/>
    <hyperlink ref="R91" r:id="rId360"/>
    <hyperlink ref="O92" r:id="rId361"/>
    <hyperlink ref="P92" r:id="rId362"/>
    <hyperlink ref="Q92" r:id="rId363"/>
    <hyperlink ref="R92" r:id="rId364"/>
    <hyperlink ref="O93" r:id="rId365"/>
    <hyperlink ref="P93" r:id="rId366"/>
    <hyperlink ref="Q93" r:id="rId367"/>
    <hyperlink ref="R93" r:id="rId368"/>
    <hyperlink ref="O94" r:id="rId369"/>
    <hyperlink ref="P94" r:id="rId370"/>
    <hyperlink ref="Q94" r:id="rId371"/>
    <hyperlink ref="R94" r:id="rId372"/>
    <hyperlink ref="O95" r:id="rId373"/>
    <hyperlink ref="P95" r:id="rId374"/>
    <hyperlink ref="Q95" r:id="rId375"/>
    <hyperlink ref="R95" r:id="rId376"/>
    <hyperlink ref="O96" r:id="rId377"/>
    <hyperlink ref="P96" r:id="rId378"/>
    <hyperlink ref="Q96" r:id="rId379"/>
    <hyperlink ref="R96" r:id="rId380"/>
    <hyperlink ref="O97" r:id="rId381"/>
    <hyperlink ref="P97" r:id="rId382"/>
    <hyperlink ref="Q97" r:id="rId383"/>
    <hyperlink ref="R97" r:id="rId384"/>
    <hyperlink ref="O98" r:id="rId385"/>
    <hyperlink ref="P98" r:id="rId386"/>
    <hyperlink ref="Q98" r:id="rId387"/>
    <hyperlink ref="R98" r:id="rId388"/>
    <hyperlink ref="O99" r:id="rId389"/>
    <hyperlink ref="P99" r:id="rId390"/>
    <hyperlink ref="Q99" r:id="rId391"/>
    <hyperlink ref="R99" r:id="rId392"/>
    <hyperlink ref="O100" r:id="rId393"/>
    <hyperlink ref="P100" r:id="rId394"/>
    <hyperlink ref="Q100" r:id="rId395"/>
    <hyperlink ref="R100" r:id="rId396"/>
    <hyperlink ref="O101" r:id="rId397"/>
    <hyperlink ref="P101" r:id="rId398"/>
    <hyperlink ref="Q101" r:id="rId399"/>
    <hyperlink ref="R101" r:id="rId400"/>
    <hyperlink ref="O102" r:id="rId401"/>
    <hyperlink ref="P102" r:id="rId402"/>
    <hyperlink ref="Q102" r:id="rId403"/>
    <hyperlink ref="R102" r:id="rId404"/>
    <hyperlink ref="O103" r:id="rId405"/>
    <hyperlink ref="P103" r:id="rId406"/>
    <hyperlink ref="Q103" r:id="rId407"/>
    <hyperlink ref="R103" r:id="rId408"/>
    <hyperlink ref="O104" r:id="rId409"/>
    <hyperlink ref="P104" r:id="rId410"/>
    <hyperlink ref="Q104" r:id="rId411"/>
    <hyperlink ref="R104" r:id="rId412"/>
    <hyperlink ref="O105" r:id="rId413"/>
    <hyperlink ref="P105" r:id="rId414"/>
    <hyperlink ref="Q105" r:id="rId415"/>
    <hyperlink ref="R105" r:id="rId416"/>
    <hyperlink ref="O106" r:id="rId417"/>
    <hyperlink ref="P106" r:id="rId418"/>
    <hyperlink ref="Q106" r:id="rId419"/>
    <hyperlink ref="R106" r:id="rId420"/>
    <hyperlink ref="O107" r:id="rId421"/>
    <hyperlink ref="P107" r:id="rId422"/>
    <hyperlink ref="Q107" r:id="rId423"/>
    <hyperlink ref="R107" r:id="rId424"/>
    <hyperlink ref="O108" r:id="rId425"/>
    <hyperlink ref="P108" r:id="rId426"/>
    <hyperlink ref="Q108" r:id="rId427"/>
    <hyperlink ref="R108" r:id="rId428"/>
    <hyperlink ref="O109" r:id="rId429"/>
    <hyperlink ref="P109" r:id="rId430"/>
    <hyperlink ref="Q109" r:id="rId431"/>
    <hyperlink ref="R109" r:id="rId432"/>
    <hyperlink ref="O110" r:id="rId433"/>
    <hyperlink ref="P110" r:id="rId434"/>
    <hyperlink ref="Q110" r:id="rId435"/>
    <hyperlink ref="R110" r:id="rId436"/>
    <hyperlink ref="O111" r:id="rId437"/>
    <hyperlink ref="P111" r:id="rId438"/>
    <hyperlink ref="Q111" r:id="rId439"/>
    <hyperlink ref="R111" r:id="rId440"/>
    <hyperlink ref="O112" r:id="rId441"/>
    <hyperlink ref="P112" r:id="rId442"/>
    <hyperlink ref="Q112" r:id="rId443"/>
    <hyperlink ref="R112" r:id="rId444"/>
    <hyperlink ref="O113" r:id="rId445"/>
    <hyperlink ref="P113" r:id="rId446"/>
    <hyperlink ref="Q113" r:id="rId447"/>
    <hyperlink ref="R113" r:id="rId448"/>
    <hyperlink ref="O114" r:id="rId449"/>
    <hyperlink ref="P114" r:id="rId450"/>
    <hyperlink ref="Q114" r:id="rId451"/>
    <hyperlink ref="R114" r:id="rId452"/>
    <hyperlink ref="O115" r:id="rId453"/>
    <hyperlink ref="P115" r:id="rId454"/>
    <hyperlink ref="Q115" r:id="rId455"/>
    <hyperlink ref="R115" r:id="rId456"/>
    <hyperlink ref="O116" r:id="rId457"/>
    <hyperlink ref="P116" r:id="rId458"/>
    <hyperlink ref="Q116" r:id="rId459"/>
    <hyperlink ref="R116" r:id="rId460"/>
    <hyperlink ref="O117" r:id="rId461"/>
    <hyperlink ref="P117" r:id="rId462"/>
    <hyperlink ref="Q117" r:id="rId463"/>
    <hyperlink ref="R117" r:id="rId464"/>
    <hyperlink ref="O118" r:id="rId465"/>
    <hyperlink ref="P118" r:id="rId466"/>
    <hyperlink ref="Q118" r:id="rId467"/>
    <hyperlink ref="R118" r:id="rId468"/>
    <hyperlink ref="O119" r:id="rId469"/>
    <hyperlink ref="P119" r:id="rId470"/>
    <hyperlink ref="Q119" r:id="rId471"/>
    <hyperlink ref="R119" r:id="rId472"/>
    <hyperlink ref="O120" r:id="rId473"/>
    <hyperlink ref="P120" r:id="rId474"/>
    <hyperlink ref="Q120" r:id="rId475"/>
    <hyperlink ref="R120" r:id="rId476"/>
    <hyperlink ref="O121" r:id="rId477"/>
    <hyperlink ref="P121" r:id="rId478"/>
    <hyperlink ref="Q121" r:id="rId479"/>
    <hyperlink ref="R121" r:id="rId480"/>
    <hyperlink ref="O122" r:id="rId481"/>
    <hyperlink ref="P122" r:id="rId482"/>
    <hyperlink ref="Q122" r:id="rId483"/>
    <hyperlink ref="R122" r:id="rId484"/>
    <hyperlink ref="O123" r:id="rId485"/>
    <hyperlink ref="P123" r:id="rId486"/>
    <hyperlink ref="Q123" r:id="rId487"/>
    <hyperlink ref="R123" r:id="rId488"/>
    <hyperlink ref="O124" r:id="rId489"/>
    <hyperlink ref="P124" r:id="rId490"/>
    <hyperlink ref="Q124" r:id="rId491"/>
    <hyperlink ref="R124" r:id="rId492"/>
    <hyperlink ref="O125" r:id="rId493"/>
    <hyperlink ref="P125" r:id="rId494"/>
    <hyperlink ref="Q125" r:id="rId495"/>
    <hyperlink ref="R125" r:id="rId496"/>
    <hyperlink ref="O126" r:id="rId497"/>
    <hyperlink ref="P126" r:id="rId498"/>
    <hyperlink ref="Q126" r:id="rId499"/>
    <hyperlink ref="R126" r:id="rId500"/>
    <hyperlink ref="O127" r:id="rId501"/>
    <hyperlink ref="P127" r:id="rId502"/>
    <hyperlink ref="Q127" r:id="rId503"/>
    <hyperlink ref="R127" r:id="rId504"/>
    <hyperlink ref="O128" r:id="rId505"/>
    <hyperlink ref="P128" r:id="rId506"/>
    <hyperlink ref="Q128" r:id="rId507"/>
    <hyperlink ref="R128" r:id="rId508"/>
    <hyperlink ref="O129" r:id="rId509"/>
    <hyperlink ref="P129" r:id="rId510"/>
    <hyperlink ref="Q129" r:id="rId511"/>
    <hyperlink ref="R129" r:id="rId512"/>
    <hyperlink ref="O130" r:id="rId513"/>
    <hyperlink ref="P130" r:id="rId514"/>
    <hyperlink ref="Q130" r:id="rId515"/>
    <hyperlink ref="R130" r:id="rId516"/>
    <hyperlink ref="O131" r:id="rId517"/>
    <hyperlink ref="P131" r:id="rId518"/>
    <hyperlink ref="Q131" r:id="rId519"/>
    <hyperlink ref="R131" r:id="rId520"/>
    <hyperlink ref="O132" r:id="rId521"/>
    <hyperlink ref="P132" r:id="rId522"/>
    <hyperlink ref="Q132" r:id="rId523"/>
    <hyperlink ref="R132" r:id="rId524"/>
    <hyperlink ref="O133" r:id="rId525"/>
    <hyperlink ref="P133" r:id="rId526"/>
    <hyperlink ref="Q133" r:id="rId527"/>
    <hyperlink ref="R133" r:id="rId528"/>
    <hyperlink ref="O134" r:id="rId529"/>
    <hyperlink ref="P134" r:id="rId530"/>
    <hyperlink ref="Q134" r:id="rId531"/>
    <hyperlink ref="R134" r:id="rId532"/>
    <hyperlink ref="O135" r:id="rId533"/>
    <hyperlink ref="P135" r:id="rId534"/>
    <hyperlink ref="Q135" r:id="rId535"/>
    <hyperlink ref="R135" r:id="rId536"/>
    <hyperlink ref="O136" r:id="rId537"/>
    <hyperlink ref="P136" r:id="rId538"/>
    <hyperlink ref="Q136" r:id="rId539"/>
    <hyperlink ref="R136" r:id="rId540"/>
    <hyperlink ref="O137" r:id="rId541"/>
    <hyperlink ref="P137" r:id="rId542"/>
    <hyperlink ref="Q137" r:id="rId543"/>
    <hyperlink ref="R137" r:id="rId544"/>
    <hyperlink ref="O138" r:id="rId545"/>
    <hyperlink ref="P138" r:id="rId546"/>
    <hyperlink ref="Q138" r:id="rId547"/>
    <hyperlink ref="R138" r:id="rId548"/>
    <hyperlink ref="O139" r:id="rId549"/>
    <hyperlink ref="P139" r:id="rId550"/>
    <hyperlink ref="Q139" r:id="rId551"/>
    <hyperlink ref="R139" r:id="rId552"/>
    <hyperlink ref="O140" r:id="rId553"/>
    <hyperlink ref="P140" r:id="rId554"/>
    <hyperlink ref="Q140" r:id="rId555"/>
    <hyperlink ref="R140" r:id="rId556"/>
    <hyperlink ref="O141" r:id="rId557"/>
    <hyperlink ref="P141" r:id="rId558"/>
    <hyperlink ref="Q141" r:id="rId559"/>
    <hyperlink ref="R141" r:id="rId560"/>
    <hyperlink ref="O142" r:id="rId561"/>
    <hyperlink ref="P142" r:id="rId562"/>
    <hyperlink ref="Q142" r:id="rId563"/>
    <hyperlink ref="R142" r:id="rId564"/>
    <hyperlink ref="O143" r:id="rId565"/>
    <hyperlink ref="P143" r:id="rId566"/>
    <hyperlink ref="Q143" r:id="rId567"/>
    <hyperlink ref="R143" r:id="rId568"/>
    <hyperlink ref="O144" r:id="rId569"/>
    <hyperlink ref="P144" r:id="rId570"/>
    <hyperlink ref="Q144" r:id="rId571"/>
    <hyperlink ref="R144" r:id="rId572"/>
    <hyperlink ref="O145" r:id="rId573"/>
    <hyperlink ref="P145" r:id="rId574"/>
    <hyperlink ref="Q145" r:id="rId575"/>
    <hyperlink ref="R145" r:id="rId576"/>
    <hyperlink ref="O146" r:id="rId577"/>
    <hyperlink ref="P146" r:id="rId578"/>
    <hyperlink ref="Q146" r:id="rId579"/>
    <hyperlink ref="R146" r:id="rId580"/>
    <hyperlink ref="O147" r:id="rId581"/>
    <hyperlink ref="P147" r:id="rId582"/>
    <hyperlink ref="Q147" r:id="rId583"/>
    <hyperlink ref="R147" r:id="rId584"/>
    <hyperlink ref="O148" r:id="rId585"/>
    <hyperlink ref="P148" r:id="rId586"/>
    <hyperlink ref="Q148" r:id="rId587"/>
    <hyperlink ref="R148" r:id="rId588"/>
    <hyperlink ref="O149" r:id="rId589"/>
    <hyperlink ref="P149" r:id="rId590"/>
    <hyperlink ref="Q149" r:id="rId591"/>
    <hyperlink ref="R149" r:id="rId592"/>
    <hyperlink ref="O150" r:id="rId593"/>
    <hyperlink ref="P150" r:id="rId594"/>
    <hyperlink ref="Q150" r:id="rId595"/>
    <hyperlink ref="R150" r:id="rId596"/>
    <hyperlink ref="O151" r:id="rId597"/>
    <hyperlink ref="P151" r:id="rId598"/>
    <hyperlink ref="Q151" r:id="rId599"/>
    <hyperlink ref="R151" r:id="rId600"/>
    <hyperlink ref="O152" r:id="rId601"/>
    <hyperlink ref="P152" r:id="rId602"/>
    <hyperlink ref="Q152" r:id="rId603"/>
    <hyperlink ref="R152" r:id="rId604"/>
    <hyperlink ref="O153" r:id="rId605"/>
    <hyperlink ref="P153" r:id="rId606"/>
    <hyperlink ref="Q153" r:id="rId607"/>
    <hyperlink ref="R153" r:id="rId608"/>
    <hyperlink ref="O154" r:id="rId609"/>
    <hyperlink ref="P154" r:id="rId610"/>
    <hyperlink ref="Q154" r:id="rId611"/>
    <hyperlink ref="R154" r:id="rId612"/>
    <hyperlink ref="O155" r:id="rId613"/>
    <hyperlink ref="P155" r:id="rId614"/>
    <hyperlink ref="Q155" r:id="rId615"/>
    <hyperlink ref="R155" r:id="rId616"/>
    <hyperlink ref="O156" r:id="rId617"/>
    <hyperlink ref="P156" r:id="rId618"/>
    <hyperlink ref="Q156" r:id="rId619"/>
    <hyperlink ref="R156" r:id="rId620"/>
    <hyperlink ref="O157" r:id="rId621"/>
    <hyperlink ref="P157" r:id="rId622"/>
    <hyperlink ref="Q157" r:id="rId623"/>
    <hyperlink ref="R157" r:id="rId624"/>
    <hyperlink ref="O158" r:id="rId625"/>
    <hyperlink ref="P158" r:id="rId626"/>
    <hyperlink ref="Q158" r:id="rId627"/>
    <hyperlink ref="R158" r:id="rId628"/>
    <hyperlink ref="O159" r:id="rId629"/>
    <hyperlink ref="P159" r:id="rId630"/>
    <hyperlink ref="Q159" r:id="rId631"/>
    <hyperlink ref="R159" r:id="rId632"/>
    <hyperlink ref="O160" r:id="rId633"/>
    <hyperlink ref="P160" r:id="rId634"/>
    <hyperlink ref="Q160" r:id="rId635"/>
    <hyperlink ref="R160" r:id="rId636"/>
    <hyperlink ref="O161" r:id="rId637"/>
    <hyperlink ref="P161" r:id="rId638"/>
    <hyperlink ref="Q161" r:id="rId639"/>
    <hyperlink ref="R161" r:id="rId640"/>
    <hyperlink ref="O162" r:id="rId641"/>
    <hyperlink ref="P162" r:id="rId642"/>
    <hyperlink ref="Q162" r:id="rId643"/>
    <hyperlink ref="R162" r:id="rId644"/>
    <hyperlink ref="O163" r:id="rId645"/>
    <hyperlink ref="P163" r:id="rId646"/>
    <hyperlink ref="Q163" r:id="rId647"/>
    <hyperlink ref="R163" r:id="rId648"/>
    <hyperlink ref="O164" r:id="rId649"/>
    <hyperlink ref="P164" r:id="rId650"/>
    <hyperlink ref="Q164" r:id="rId651"/>
    <hyperlink ref="R164" r:id="rId652"/>
    <hyperlink ref="O165" r:id="rId653"/>
    <hyperlink ref="P165" r:id="rId654"/>
    <hyperlink ref="Q165" r:id="rId655"/>
    <hyperlink ref="R165" r:id="rId656"/>
    <hyperlink ref="O166" r:id="rId657"/>
    <hyperlink ref="P166" r:id="rId658"/>
    <hyperlink ref="Q166" r:id="rId659"/>
    <hyperlink ref="R166" r:id="rId660"/>
    <hyperlink ref="O167" r:id="rId661"/>
    <hyperlink ref="P167" r:id="rId662"/>
    <hyperlink ref="Q167" r:id="rId663"/>
    <hyperlink ref="R167" r:id="rId664"/>
    <hyperlink ref="O168" r:id="rId665"/>
    <hyperlink ref="P168" r:id="rId666"/>
    <hyperlink ref="Q168" r:id="rId667"/>
    <hyperlink ref="R168" r:id="rId668"/>
    <hyperlink ref="O169" r:id="rId669"/>
    <hyperlink ref="P169" r:id="rId670"/>
    <hyperlink ref="Q169" r:id="rId671"/>
    <hyperlink ref="R169" r:id="rId672"/>
    <hyperlink ref="O170" r:id="rId673"/>
    <hyperlink ref="P170" r:id="rId674"/>
    <hyperlink ref="Q170" r:id="rId675"/>
    <hyperlink ref="R170" r:id="rId676"/>
    <hyperlink ref="O171" r:id="rId677"/>
    <hyperlink ref="P171" r:id="rId678"/>
    <hyperlink ref="Q171" r:id="rId679"/>
    <hyperlink ref="R171" r:id="rId680"/>
    <hyperlink ref="O172" r:id="rId681"/>
    <hyperlink ref="P172" r:id="rId682"/>
    <hyperlink ref="Q172" r:id="rId683"/>
    <hyperlink ref="R172" r:id="rId684"/>
    <hyperlink ref="O173" r:id="rId685"/>
    <hyperlink ref="P173" r:id="rId686"/>
    <hyperlink ref="Q173" r:id="rId687"/>
    <hyperlink ref="R173" r:id="rId688"/>
    <hyperlink ref="O174" r:id="rId689"/>
    <hyperlink ref="P174" r:id="rId690"/>
    <hyperlink ref="Q174" r:id="rId691"/>
    <hyperlink ref="R174" r:id="rId692"/>
    <hyperlink ref="O175" r:id="rId693"/>
    <hyperlink ref="P175" r:id="rId694"/>
    <hyperlink ref="Q175" r:id="rId695"/>
    <hyperlink ref="R175" r:id="rId696"/>
    <hyperlink ref="O176" r:id="rId697"/>
    <hyperlink ref="P176" r:id="rId698"/>
    <hyperlink ref="Q176" r:id="rId699"/>
    <hyperlink ref="R176" r:id="rId700"/>
    <hyperlink ref="O177" r:id="rId701"/>
    <hyperlink ref="P177" r:id="rId702"/>
    <hyperlink ref="Q177" r:id="rId703"/>
    <hyperlink ref="R177" r:id="rId704"/>
    <hyperlink ref="O178" r:id="rId705"/>
    <hyperlink ref="P178" r:id="rId706"/>
    <hyperlink ref="Q178" r:id="rId707"/>
    <hyperlink ref="R178" r:id="rId708"/>
    <hyperlink ref="O179" r:id="rId709"/>
    <hyperlink ref="P179" r:id="rId710"/>
    <hyperlink ref="Q179" r:id="rId711"/>
    <hyperlink ref="R179" r:id="rId712"/>
    <hyperlink ref="O180" r:id="rId713"/>
    <hyperlink ref="P180" r:id="rId714"/>
    <hyperlink ref="Q180" r:id="rId715"/>
    <hyperlink ref="R180" r:id="rId716"/>
    <hyperlink ref="O181" r:id="rId717"/>
    <hyperlink ref="P181" r:id="rId718"/>
    <hyperlink ref="Q181" r:id="rId719"/>
    <hyperlink ref="R181" r:id="rId720"/>
    <hyperlink ref="O182" r:id="rId721"/>
    <hyperlink ref="P182" r:id="rId722"/>
    <hyperlink ref="Q182" r:id="rId723"/>
    <hyperlink ref="R182" r:id="rId724"/>
    <hyperlink ref="O183" r:id="rId725"/>
    <hyperlink ref="P183" r:id="rId726"/>
    <hyperlink ref="Q183" r:id="rId727"/>
    <hyperlink ref="R183" r:id="rId728"/>
    <hyperlink ref="O184" r:id="rId729"/>
    <hyperlink ref="P184" r:id="rId730"/>
    <hyperlink ref="Q184" r:id="rId731"/>
    <hyperlink ref="R184" r:id="rId732"/>
    <hyperlink ref="O185" r:id="rId733"/>
    <hyperlink ref="P185" r:id="rId734"/>
    <hyperlink ref="Q185" r:id="rId735"/>
    <hyperlink ref="R185" r:id="rId736"/>
    <hyperlink ref="O186" r:id="rId737"/>
    <hyperlink ref="P186" r:id="rId738"/>
    <hyperlink ref="Q186" r:id="rId739"/>
    <hyperlink ref="R186" r:id="rId740"/>
    <hyperlink ref="O187" r:id="rId741"/>
    <hyperlink ref="P187" r:id="rId742"/>
    <hyperlink ref="Q187" r:id="rId743"/>
    <hyperlink ref="R187" r:id="rId744"/>
    <hyperlink ref="O188" r:id="rId745"/>
    <hyperlink ref="P188" r:id="rId746"/>
    <hyperlink ref="Q188" r:id="rId747"/>
    <hyperlink ref="R188" r:id="rId748"/>
    <hyperlink ref="O189" r:id="rId749"/>
    <hyperlink ref="P189" r:id="rId750"/>
    <hyperlink ref="Q189" r:id="rId751"/>
    <hyperlink ref="R189" r:id="rId752"/>
    <hyperlink ref="O190" r:id="rId753"/>
    <hyperlink ref="P190" r:id="rId754"/>
    <hyperlink ref="Q190" r:id="rId755"/>
    <hyperlink ref="R190" r:id="rId756"/>
    <hyperlink ref="O191" r:id="rId757"/>
    <hyperlink ref="P191" r:id="rId758"/>
    <hyperlink ref="Q191" r:id="rId759"/>
    <hyperlink ref="R191" r:id="rId760"/>
    <hyperlink ref="O192" r:id="rId761"/>
    <hyperlink ref="P192" r:id="rId762"/>
    <hyperlink ref="Q192" r:id="rId763"/>
    <hyperlink ref="R192" r:id="rId764"/>
    <hyperlink ref="O193" r:id="rId765"/>
    <hyperlink ref="P193" r:id="rId766"/>
    <hyperlink ref="Q193" r:id="rId767"/>
    <hyperlink ref="R193" r:id="rId768"/>
    <hyperlink ref="O194" r:id="rId769"/>
    <hyperlink ref="P194" r:id="rId770"/>
    <hyperlink ref="Q194" r:id="rId771"/>
    <hyperlink ref="R194" r:id="rId772"/>
    <hyperlink ref="O195" r:id="rId773"/>
    <hyperlink ref="P195" r:id="rId774"/>
    <hyperlink ref="Q195" r:id="rId775"/>
    <hyperlink ref="R195" r:id="rId776"/>
    <hyperlink ref="O196" r:id="rId777"/>
    <hyperlink ref="P196" r:id="rId778"/>
    <hyperlink ref="Q196" r:id="rId779"/>
    <hyperlink ref="R196" r:id="rId780"/>
    <hyperlink ref="O197" r:id="rId781"/>
    <hyperlink ref="P197" r:id="rId782"/>
    <hyperlink ref="Q197" r:id="rId783"/>
    <hyperlink ref="R197" r:id="rId784"/>
    <hyperlink ref="O198" r:id="rId785"/>
    <hyperlink ref="P198" r:id="rId786"/>
    <hyperlink ref="Q198" r:id="rId787"/>
    <hyperlink ref="R198" r:id="rId788"/>
    <hyperlink ref="O199" r:id="rId789"/>
    <hyperlink ref="P199" r:id="rId790"/>
    <hyperlink ref="Q199" r:id="rId791"/>
    <hyperlink ref="R199" r:id="rId792"/>
    <hyperlink ref="O200" r:id="rId793"/>
    <hyperlink ref="P200" r:id="rId794"/>
    <hyperlink ref="Q200" r:id="rId795"/>
    <hyperlink ref="R200" r:id="rId796"/>
    <hyperlink ref="O201" r:id="rId797"/>
    <hyperlink ref="P201" r:id="rId798"/>
    <hyperlink ref="Q201" r:id="rId799"/>
    <hyperlink ref="R201" r:id="rId800"/>
    <hyperlink ref="O202" r:id="rId801"/>
    <hyperlink ref="P202" r:id="rId802"/>
    <hyperlink ref="Q202" r:id="rId803"/>
    <hyperlink ref="R202" r:id="rId804"/>
    <hyperlink ref="O203" r:id="rId805"/>
    <hyperlink ref="P203" r:id="rId806"/>
    <hyperlink ref="Q203" r:id="rId807"/>
    <hyperlink ref="R203" r:id="rId808"/>
    <hyperlink ref="O204" r:id="rId809"/>
    <hyperlink ref="P204" r:id="rId810"/>
    <hyperlink ref="Q204" r:id="rId811"/>
    <hyperlink ref="R204" r:id="rId812"/>
    <hyperlink ref="O205" r:id="rId813"/>
    <hyperlink ref="P205" r:id="rId814"/>
    <hyperlink ref="Q205" r:id="rId815"/>
    <hyperlink ref="R205" r:id="rId816"/>
    <hyperlink ref="O206" r:id="rId817"/>
    <hyperlink ref="P206" r:id="rId818"/>
    <hyperlink ref="Q206" r:id="rId819"/>
    <hyperlink ref="R206" r:id="rId820"/>
    <hyperlink ref="O207" r:id="rId821"/>
    <hyperlink ref="P207" r:id="rId822"/>
    <hyperlink ref="Q207" r:id="rId823"/>
    <hyperlink ref="R207" r:id="rId824"/>
    <hyperlink ref="O208" r:id="rId825"/>
    <hyperlink ref="P208" r:id="rId826"/>
    <hyperlink ref="Q208" r:id="rId827"/>
    <hyperlink ref="R208" r:id="rId828"/>
    <hyperlink ref="O209" r:id="rId829"/>
    <hyperlink ref="P209" r:id="rId830"/>
    <hyperlink ref="Q209" r:id="rId831"/>
    <hyperlink ref="R209" r:id="rId832"/>
    <hyperlink ref="O210" r:id="rId833"/>
    <hyperlink ref="P210" r:id="rId834"/>
    <hyperlink ref="Q210" r:id="rId835"/>
    <hyperlink ref="R210" r:id="rId836"/>
    <hyperlink ref="O211" r:id="rId837"/>
    <hyperlink ref="P211" r:id="rId838"/>
    <hyperlink ref="Q211" r:id="rId839"/>
    <hyperlink ref="R211" r:id="rId840"/>
    <hyperlink ref="O212" r:id="rId841"/>
    <hyperlink ref="P212" r:id="rId842"/>
    <hyperlink ref="Q212" r:id="rId843"/>
    <hyperlink ref="R212" r:id="rId844"/>
    <hyperlink ref="O213" r:id="rId845"/>
    <hyperlink ref="P213" r:id="rId846"/>
    <hyperlink ref="Q213" r:id="rId847"/>
    <hyperlink ref="R213" r:id="rId848"/>
    <hyperlink ref="O214" r:id="rId849"/>
    <hyperlink ref="P214" r:id="rId850"/>
    <hyperlink ref="Q214" r:id="rId851"/>
    <hyperlink ref="R214" r:id="rId852"/>
    <hyperlink ref="O215" r:id="rId853"/>
    <hyperlink ref="P215" r:id="rId854"/>
    <hyperlink ref="Q215" r:id="rId855"/>
    <hyperlink ref="R215" r:id="rId856"/>
    <hyperlink ref="O216" r:id="rId857"/>
    <hyperlink ref="P216" r:id="rId858"/>
    <hyperlink ref="Q216" r:id="rId859"/>
    <hyperlink ref="R216" r:id="rId860"/>
    <hyperlink ref="O217" r:id="rId861"/>
    <hyperlink ref="P217" r:id="rId862"/>
    <hyperlink ref="Q217" r:id="rId863"/>
    <hyperlink ref="R217" r:id="rId864"/>
    <hyperlink ref="O218" r:id="rId865"/>
    <hyperlink ref="P218" r:id="rId866"/>
    <hyperlink ref="Q218" r:id="rId867"/>
    <hyperlink ref="R218" r:id="rId868"/>
    <hyperlink ref="O219" r:id="rId869"/>
    <hyperlink ref="P219" r:id="rId870"/>
    <hyperlink ref="Q219" r:id="rId871"/>
    <hyperlink ref="R219" r:id="rId872"/>
    <hyperlink ref="O220" r:id="rId873"/>
    <hyperlink ref="P220" r:id="rId874"/>
    <hyperlink ref="Q220" r:id="rId875"/>
    <hyperlink ref="R220" r:id="rId876"/>
    <hyperlink ref="O221" r:id="rId877"/>
    <hyperlink ref="P221" r:id="rId878"/>
    <hyperlink ref="Q221" r:id="rId879"/>
    <hyperlink ref="R221" r:id="rId880"/>
    <hyperlink ref="O222" r:id="rId881"/>
    <hyperlink ref="P222" r:id="rId882"/>
    <hyperlink ref="Q222" r:id="rId883"/>
    <hyperlink ref="R222" r:id="rId884"/>
    <hyperlink ref="O223" r:id="rId885"/>
    <hyperlink ref="P223" r:id="rId886"/>
    <hyperlink ref="Q223" r:id="rId887"/>
    <hyperlink ref="R223" r:id="rId888"/>
    <hyperlink ref="O224" r:id="rId889"/>
    <hyperlink ref="P224" r:id="rId890"/>
    <hyperlink ref="Q224" r:id="rId891"/>
    <hyperlink ref="R224" r:id="rId892"/>
    <hyperlink ref="O225" r:id="rId893"/>
    <hyperlink ref="P225" r:id="rId894"/>
    <hyperlink ref="Q225" r:id="rId895"/>
    <hyperlink ref="R225" r:id="rId896"/>
    <hyperlink ref="O226" r:id="rId897"/>
    <hyperlink ref="P226" r:id="rId898"/>
    <hyperlink ref="Q226" r:id="rId899"/>
    <hyperlink ref="R226" r:id="rId900"/>
    <hyperlink ref="O227" r:id="rId901"/>
    <hyperlink ref="P227" r:id="rId902"/>
    <hyperlink ref="Q227" r:id="rId903"/>
    <hyperlink ref="R227" r:id="rId904"/>
    <hyperlink ref="O228" r:id="rId905"/>
    <hyperlink ref="P228" r:id="rId906"/>
    <hyperlink ref="Q228" r:id="rId907"/>
    <hyperlink ref="R228" r:id="rId908"/>
    <hyperlink ref="O229" r:id="rId909"/>
    <hyperlink ref="P229" r:id="rId910"/>
    <hyperlink ref="Q229" r:id="rId911"/>
    <hyperlink ref="R229" r:id="rId912"/>
    <hyperlink ref="O230" r:id="rId913"/>
    <hyperlink ref="P230" r:id="rId914"/>
    <hyperlink ref="Q230" r:id="rId915"/>
    <hyperlink ref="R230" r:id="rId916"/>
    <hyperlink ref="O231" r:id="rId917"/>
    <hyperlink ref="P231" r:id="rId918"/>
    <hyperlink ref="Q231" r:id="rId919"/>
    <hyperlink ref="R231" r:id="rId920"/>
    <hyperlink ref="O232" r:id="rId921"/>
    <hyperlink ref="P232" r:id="rId922"/>
    <hyperlink ref="Q232" r:id="rId923"/>
    <hyperlink ref="R232" r:id="rId924"/>
    <hyperlink ref="O233" r:id="rId925"/>
    <hyperlink ref="P233" r:id="rId926"/>
    <hyperlink ref="Q233" r:id="rId927"/>
    <hyperlink ref="R233" r:id="rId928"/>
    <hyperlink ref="O234" r:id="rId929"/>
    <hyperlink ref="P234" r:id="rId930"/>
    <hyperlink ref="Q234" r:id="rId931"/>
    <hyperlink ref="R234" r:id="rId932"/>
    <hyperlink ref="O235" r:id="rId933"/>
    <hyperlink ref="P235" r:id="rId934"/>
    <hyperlink ref="Q235" r:id="rId935"/>
    <hyperlink ref="R235" r:id="rId936"/>
    <hyperlink ref="O236" r:id="rId937"/>
    <hyperlink ref="P236" r:id="rId938"/>
    <hyperlink ref="Q236" r:id="rId939"/>
    <hyperlink ref="R236" r:id="rId940"/>
    <hyperlink ref="O237" r:id="rId941"/>
    <hyperlink ref="P237" r:id="rId942"/>
    <hyperlink ref="Q237" r:id="rId943"/>
    <hyperlink ref="R237" r:id="rId944"/>
    <hyperlink ref="O238" r:id="rId945"/>
    <hyperlink ref="P238" r:id="rId946"/>
    <hyperlink ref="Q238" r:id="rId947"/>
    <hyperlink ref="R238" r:id="rId948"/>
    <hyperlink ref="O239" r:id="rId949"/>
    <hyperlink ref="P239" r:id="rId950"/>
    <hyperlink ref="Q239" r:id="rId951"/>
    <hyperlink ref="R239" r:id="rId952"/>
    <hyperlink ref="O240" r:id="rId953"/>
    <hyperlink ref="P240" r:id="rId954"/>
    <hyperlink ref="Q240" r:id="rId955"/>
    <hyperlink ref="R240" r:id="rId956"/>
    <hyperlink ref="O241" r:id="rId957"/>
    <hyperlink ref="P241" r:id="rId958"/>
    <hyperlink ref="Q241" r:id="rId959"/>
    <hyperlink ref="R241" r:id="rId960"/>
    <hyperlink ref="O242" r:id="rId961"/>
    <hyperlink ref="P242" r:id="rId962"/>
    <hyperlink ref="Q242" r:id="rId963"/>
    <hyperlink ref="R242" r:id="rId964"/>
    <hyperlink ref="O243" r:id="rId965"/>
    <hyperlink ref="P243" r:id="rId966"/>
    <hyperlink ref="Q243" r:id="rId967"/>
    <hyperlink ref="R243" r:id="rId968"/>
    <hyperlink ref="O244" r:id="rId969"/>
    <hyperlink ref="P244" r:id="rId970"/>
    <hyperlink ref="Q244" r:id="rId971"/>
    <hyperlink ref="R244" r:id="rId972"/>
    <hyperlink ref="O245" r:id="rId973"/>
    <hyperlink ref="P245" r:id="rId974"/>
    <hyperlink ref="Q245" r:id="rId975"/>
    <hyperlink ref="R245" r:id="rId976"/>
    <hyperlink ref="O246" r:id="rId977"/>
    <hyperlink ref="P246" r:id="rId978"/>
    <hyperlink ref="Q246" r:id="rId979"/>
    <hyperlink ref="R246" r:id="rId980"/>
    <hyperlink ref="O247" r:id="rId981"/>
    <hyperlink ref="P247" r:id="rId982"/>
    <hyperlink ref="Q247" r:id="rId983"/>
    <hyperlink ref="R247" r:id="rId984"/>
    <hyperlink ref="O248" r:id="rId985"/>
    <hyperlink ref="P248" r:id="rId986"/>
    <hyperlink ref="Q248" r:id="rId987"/>
    <hyperlink ref="R248" r:id="rId988"/>
    <hyperlink ref="O249" r:id="rId989"/>
    <hyperlink ref="P249" r:id="rId990"/>
    <hyperlink ref="Q249" r:id="rId991"/>
    <hyperlink ref="R249" r:id="rId992"/>
    <hyperlink ref="O250" r:id="rId993"/>
    <hyperlink ref="P250" r:id="rId994"/>
    <hyperlink ref="Q250" r:id="rId995"/>
    <hyperlink ref="R250" r:id="rId996"/>
    <hyperlink ref="O251" r:id="rId997"/>
    <hyperlink ref="P251" r:id="rId998"/>
    <hyperlink ref="Q251" r:id="rId999"/>
    <hyperlink ref="R251" r:id="rId1000"/>
    <hyperlink ref="O252" r:id="rId1001"/>
    <hyperlink ref="P252" r:id="rId1002"/>
    <hyperlink ref="Q252" r:id="rId1003"/>
    <hyperlink ref="R252" r:id="rId1004"/>
    <hyperlink ref="O253" r:id="rId1005"/>
    <hyperlink ref="P253" r:id="rId1006"/>
    <hyperlink ref="Q253" r:id="rId1007"/>
    <hyperlink ref="R253" r:id="rId1008"/>
    <hyperlink ref="O254" r:id="rId1009"/>
    <hyperlink ref="P254" r:id="rId1010"/>
    <hyperlink ref="Q254" r:id="rId1011"/>
    <hyperlink ref="R254" r:id="rId1012"/>
    <hyperlink ref="O255" r:id="rId1013"/>
    <hyperlink ref="P255" r:id="rId1014"/>
    <hyperlink ref="Q255" r:id="rId1015"/>
    <hyperlink ref="R255" r:id="rId1016"/>
    <hyperlink ref="O256" r:id="rId1017"/>
    <hyperlink ref="P256" r:id="rId1018"/>
    <hyperlink ref="Q256" r:id="rId1019"/>
    <hyperlink ref="R256" r:id="rId1020"/>
    <hyperlink ref="O257" r:id="rId1021"/>
    <hyperlink ref="P257" r:id="rId1022"/>
    <hyperlink ref="Q257" r:id="rId1023"/>
    <hyperlink ref="R257" r:id="rId1024"/>
    <hyperlink ref="O258" r:id="rId1025"/>
    <hyperlink ref="P258" r:id="rId1026"/>
    <hyperlink ref="Q258" r:id="rId1027"/>
    <hyperlink ref="R258" r:id="rId1028"/>
    <hyperlink ref="O259" r:id="rId1029"/>
    <hyperlink ref="P259" r:id="rId1030"/>
    <hyperlink ref="Q259" r:id="rId1031"/>
    <hyperlink ref="R259" r:id="rId1032"/>
    <hyperlink ref="O260" r:id="rId1033"/>
    <hyperlink ref="P260" r:id="rId1034"/>
    <hyperlink ref="Q260" r:id="rId1035"/>
    <hyperlink ref="R260" r:id="rId1036"/>
    <hyperlink ref="O261" r:id="rId1037"/>
    <hyperlink ref="P261" r:id="rId1038"/>
    <hyperlink ref="Q261" r:id="rId1039"/>
    <hyperlink ref="R261" r:id="rId1040"/>
    <hyperlink ref="O262" r:id="rId1041"/>
    <hyperlink ref="P262" r:id="rId1042"/>
    <hyperlink ref="Q262" r:id="rId1043"/>
    <hyperlink ref="R262" r:id="rId1044"/>
    <hyperlink ref="O263" r:id="rId1045"/>
    <hyperlink ref="P263" r:id="rId1046"/>
    <hyperlink ref="Q263" r:id="rId1047"/>
    <hyperlink ref="R263" r:id="rId1048"/>
    <hyperlink ref="O264" r:id="rId1049"/>
    <hyperlink ref="P264" r:id="rId1050"/>
    <hyperlink ref="Q264" r:id="rId1051"/>
    <hyperlink ref="R264" r:id="rId1052"/>
    <hyperlink ref="O265" r:id="rId1053"/>
    <hyperlink ref="P265" r:id="rId1054"/>
    <hyperlink ref="Q265" r:id="rId1055"/>
    <hyperlink ref="R265" r:id="rId1056"/>
    <hyperlink ref="O266" r:id="rId1057"/>
    <hyperlink ref="P266" r:id="rId1058"/>
    <hyperlink ref="Q266" r:id="rId1059"/>
    <hyperlink ref="R266" r:id="rId1060"/>
    <hyperlink ref="O267" r:id="rId1061"/>
    <hyperlink ref="P267" r:id="rId1062"/>
    <hyperlink ref="Q267" r:id="rId1063"/>
    <hyperlink ref="R267" r:id="rId1064"/>
    <hyperlink ref="O268" r:id="rId1065"/>
    <hyperlink ref="P268" r:id="rId1066"/>
    <hyperlink ref="Q268" r:id="rId1067"/>
    <hyperlink ref="R268" r:id="rId1068"/>
    <hyperlink ref="O269" r:id="rId1069"/>
    <hyperlink ref="P269" r:id="rId1070"/>
    <hyperlink ref="Q269" r:id="rId1071"/>
    <hyperlink ref="R269" r:id="rId1072"/>
    <hyperlink ref="O270" r:id="rId1073"/>
    <hyperlink ref="P270" r:id="rId1074"/>
    <hyperlink ref="Q270" r:id="rId1075"/>
    <hyperlink ref="R270" r:id="rId1076"/>
    <hyperlink ref="O271" r:id="rId1077"/>
    <hyperlink ref="P271" r:id="rId1078"/>
    <hyperlink ref="Q271" r:id="rId1079"/>
    <hyperlink ref="R271" r:id="rId1080"/>
    <hyperlink ref="O272" r:id="rId1081"/>
    <hyperlink ref="P272" r:id="rId1082"/>
    <hyperlink ref="Q272" r:id="rId1083"/>
    <hyperlink ref="R272" r:id="rId1084"/>
    <hyperlink ref="O273" r:id="rId1085"/>
    <hyperlink ref="P273" r:id="rId1086"/>
    <hyperlink ref="Q273" r:id="rId1087"/>
    <hyperlink ref="R273" r:id="rId1088"/>
    <hyperlink ref="O274" r:id="rId1089"/>
    <hyperlink ref="P274" r:id="rId1090"/>
    <hyperlink ref="Q274" r:id="rId1091"/>
    <hyperlink ref="R274" r:id="rId1092"/>
    <hyperlink ref="O275" r:id="rId1093"/>
    <hyperlink ref="P275" r:id="rId1094"/>
    <hyperlink ref="Q275" r:id="rId1095"/>
    <hyperlink ref="R275" r:id="rId1096"/>
    <hyperlink ref="O276" r:id="rId1097"/>
    <hyperlink ref="P276" r:id="rId1098"/>
    <hyperlink ref="Q276" r:id="rId1099"/>
    <hyperlink ref="R276" r:id="rId1100"/>
    <hyperlink ref="O277" r:id="rId1101"/>
    <hyperlink ref="P277" r:id="rId1102"/>
    <hyperlink ref="Q277" r:id="rId1103"/>
    <hyperlink ref="R277" r:id="rId1104"/>
    <hyperlink ref="O278" r:id="rId1105"/>
    <hyperlink ref="P278" r:id="rId1106"/>
    <hyperlink ref="Q278" r:id="rId1107"/>
    <hyperlink ref="R278" r:id="rId1108"/>
    <hyperlink ref="O279" r:id="rId1109"/>
    <hyperlink ref="P279" r:id="rId1110"/>
    <hyperlink ref="Q279" r:id="rId1111"/>
    <hyperlink ref="R279" r:id="rId1112"/>
    <hyperlink ref="O280" r:id="rId1113"/>
    <hyperlink ref="P280" r:id="rId1114"/>
    <hyperlink ref="Q280" r:id="rId1115"/>
    <hyperlink ref="R280" r:id="rId1116"/>
    <hyperlink ref="O281" r:id="rId1117"/>
    <hyperlink ref="P281" r:id="rId1118"/>
    <hyperlink ref="Q281" r:id="rId1119"/>
    <hyperlink ref="R281" r:id="rId1120"/>
    <hyperlink ref="O282" r:id="rId1121"/>
    <hyperlink ref="P282" r:id="rId1122"/>
    <hyperlink ref="Q282" r:id="rId1123"/>
    <hyperlink ref="R282" r:id="rId1124"/>
    <hyperlink ref="O283" r:id="rId1125"/>
    <hyperlink ref="P283" r:id="rId1126"/>
    <hyperlink ref="Q283" r:id="rId1127"/>
    <hyperlink ref="R283" r:id="rId1128"/>
    <hyperlink ref="O284" r:id="rId1129"/>
    <hyperlink ref="P284" r:id="rId1130"/>
    <hyperlink ref="Q284" r:id="rId1131"/>
    <hyperlink ref="R284" r:id="rId1132"/>
    <hyperlink ref="O285" r:id="rId1133"/>
    <hyperlink ref="P285" r:id="rId1134"/>
    <hyperlink ref="Q285" r:id="rId1135"/>
    <hyperlink ref="R285" r:id="rId1136"/>
    <hyperlink ref="O286" r:id="rId1137"/>
    <hyperlink ref="P286" r:id="rId1138"/>
    <hyperlink ref="Q286" r:id="rId1139"/>
    <hyperlink ref="R286" r:id="rId1140"/>
    <hyperlink ref="O287" r:id="rId1141"/>
    <hyperlink ref="P287" r:id="rId1142"/>
    <hyperlink ref="Q287" r:id="rId1143"/>
    <hyperlink ref="R287" r:id="rId1144"/>
    <hyperlink ref="O288" r:id="rId1145"/>
    <hyperlink ref="P288" r:id="rId1146"/>
    <hyperlink ref="Q288" r:id="rId1147"/>
    <hyperlink ref="R288" r:id="rId1148"/>
    <hyperlink ref="O289" r:id="rId1149"/>
    <hyperlink ref="P289" r:id="rId1150"/>
    <hyperlink ref="Q289" r:id="rId1151"/>
    <hyperlink ref="R289" r:id="rId1152"/>
    <hyperlink ref="O290" r:id="rId1153"/>
    <hyperlink ref="P290" r:id="rId1154"/>
    <hyperlink ref="Q290" r:id="rId1155"/>
    <hyperlink ref="R290" r:id="rId1156"/>
    <hyperlink ref="O291" r:id="rId1157"/>
    <hyperlink ref="P291" r:id="rId1158"/>
    <hyperlink ref="Q291" r:id="rId1159"/>
    <hyperlink ref="R291" r:id="rId1160"/>
    <hyperlink ref="O292" r:id="rId1161"/>
    <hyperlink ref="P292" r:id="rId1162"/>
    <hyperlink ref="Q292" r:id="rId1163"/>
    <hyperlink ref="R292" r:id="rId1164"/>
    <hyperlink ref="O293" r:id="rId1165"/>
    <hyperlink ref="P293" r:id="rId1166"/>
    <hyperlink ref="Q293" r:id="rId1167"/>
    <hyperlink ref="R293" r:id="rId1168"/>
    <hyperlink ref="O294" r:id="rId1169"/>
    <hyperlink ref="P294" r:id="rId1170"/>
    <hyperlink ref="Q294" r:id="rId1171"/>
    <hyperlink ref="R294" r:id="rId1172"/>
    <hyperlink ref="O295" r:id="rId1173"/>
    <hyperlink ref="P295" r:id="rId1174"/>
    <hyperlink ref="Q295" r:id="rId1175"/>
    <hyperlink ref="R295" r:id="rId1176"/>
    <hyperlink ref="O296" r:id="rId1177"/>
    <hyperlink ref="P296" r:id="rId1178"/>
    <hyperlink ref="Q296" r:id="rId1179"/>
    <hyperlink ref="R296" r:id="rId1180"/>
    <hyperlink ref="O297" r:id="rId1181"/>
    <hyperlink ref="P297" r:id="rId1182"/>
    <hyperlink ref="Q297" r:id="rId1183"/>
    <hyperlink ref="R297" r:id="rId1184"/>
    <hyperlink ref="O298" r:id="rId1185"/>
    <hyperlink ref="P298" r:id="rId1186"/>
    <hyperlink ref="Q298" r:id="rId1187"/>
    <hyperlink ref="R298" r:id="rId1188"/>
    <hyperlink ref="O299" r:id="rId1189"/>
    <hyperlink ref="P299" r:id="rId1190"/>
    <hyperlink ref="Q299" r:id="rId1191"/>
    <hyperlink ref="R299" r:id="rId1192"/>
    <hyperlink ref="O300" r:id="rId1193"/>
    <hyperlink ref="P300" r:id="rId1194"/>
    <hyperlink ref="Q300" r:id="rId1195"/>
    <hyperlink ref="R300" r:id="rId1196"/>
    <hyperlink ref="O301" r:id="rId1197"/>
    <hyperlink ref="P301" r:id="rId1198"/>
    <hyperlink ref="Q301" r:id="rId1199"/>
    <hyperlink ref="R301" r:id="rId1200"/>
    <hyperlink ref="O302" r:id="rId1201"/>
    <hyperlink ref="P302" r:id="rId1202"/>
    <hyperlink ref="Q302" r:id="rId1203"/>
    <hyperlink ref="R302" r:id="rId1204"/>
    <hyperlink ref="O303" r:id="rId1205"/>
    <hyperlink ref="P303" r:id="rId1206"/>
    <hyperlink ref="Q303" r:id="rId1207"/>
    <hyperlink ref="R303" r:id="rId1208"/>
    <hyperlink ref="O304" r:id="rId1209"/>
    <hyperlink ref="P304" r:id="rId1210"/>
    <hyperlink ref="Q304" r:id="rId1211"/>
    <hyperlink ref="R304" r:id="rId1212"/>
    <hyperlink ref="O305" r:id="rId1213"/>
    <hyperlink ref="P305" r:id="rId1214"/>
    <hyperlink ref="Q305" r:id="rId1215"/>
    <hyperlink ref="R305" r:id="rId1216"/>
    <hyperlink ref="O306" r:id="rId1217"/>
    <hyperlink ref="P306" r:id="rId1218"/>
    <hyperlink ref="Q306" r:id="rId1219"/>
    <hyperlink ref="R306" r:id="rId1220"/>
    <hyperlink ref="O307" r:id="rId1221"/>
    <hyperlink ref="P307" r:id="rId1222"/>
    <hyperlink ref="Q307" r:id="rId1223"/>
    <hyperlink ref="R307" r:id="rId1224"/>
    <hyperlink ref="O308" r:id="rId1225"/>
    <hyperlink ref="P308" r:id="rId1226"/>
    <hyperlink ref="Q308" r:id="rId1227"/>
    <hyperlink ref="R308" r:id="rId1228"/>
  </hyperlinks>
  <pageMargins left="0.7" right="0.7" top="0.75" bottom="0.75" header="0.3" footer="0.3"/>
  <tableParts count="1">
    <tablePart r:id="rId1229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B2:AC22"/>
  <sheetViews>
    <sheetView showGridLines="0" workbookViewId="0"/>
  </sheetViews>
  <sheetFormatPr defaultRowHeight="15"/>
  <cols>
    <col min="1" max="1" width="3.7109375" customWidth="1"/>
    <col min="2" max="2" width="8.7109375" customWidth="1"/>
    <col min="3" max="3" width="26.7109375" customWidth="1"/>
    <col min="4" max="4" width="15.7109375" customWidth="1"/>
    <col min="5" max="5" width="18.7109375" customWidth="1"/>
    <col min="6" max="6" width="12.7109375" customWidth="1"/>
    <col min="7" max="7" width="8.7109375" customWidth="1"/>
    <col min="8" max="8" width="12.7109375" customWidth="1"/>
    <col min="9" max="9" width="3.7109375" customWidth="1"/>
    <col min="10" max="10" width="16.7109375" customWidth="1"/>
    <col min="11" max="12" width="10.7109375" customWidth="1"/>
    <col min="13" max="14" width="12.7109375" customWidth="1"/>
    <col min="15" max="16" width="14.7109375" customWidth="1"/>
    <col min="17" max="17" width="8.7109375" customWidth="1"/>
    <col min="18" max="18" width="26.7109375" customWidth="1"/>
    <col min="19" max="22" width="14.7109375" customWidth="1"/>
    <col min="23" max="23" width="3.7109375" customWidth="1"/>
    <col min="24" max="24" width="8.7109375" customWidth="1"/>
    <col min="25" max="25" width="26.7109375" customWidth="1"/>
    <col min="26" max="29" width="14.7109375" customWidth="1"/>
  </cols>
  <sheetData>
    <row r="2" spans="2:29">
      <c r="B2" s="1" t="s">
        <v>693</v>
      </c>
    </row>
    <row r="3" spans="2:29">
      <c r="B3" s="2" t="s">
        <v>694</v>
      </c>
    </row>
    <row r="5" spans="2:29">
      <c r="B5" s="3" t="s">
        <v>695</v>
      </c>
      <c r="J5" s="3" t="s">
        <v>697</v>
      </c>
      <c r="Q5" s="3" t="s">
        <v>703</v>
      </c>
      <c r="X5" s="3" t="s">
        <v>704</v>
      </c>
    </row>
    <row r="6" spans="2:29">
      <c r="B6" s="5" t="s">
        <v>696</v>
      </c>
      <c r="C6" s="5" t="s">
        <v>674</v>
      </c>
      <c r="D6" s="5" t="s">
        <v>675</v>
      </c>
      <c r="E6" s="5" t="s">
        <v>676</v>
      </c>
      <c r="F6" s="5" t="s">
        <v>677</v>
      </c>
      <c r="G6" s="5" t="s">
        <v>106</v>
      </c>
      <c r="J6" s="5" t="s">
        <v>97</v>
      </c>
      <c r="K6" s="5" t="s">
        <v>698</v>
      </c>
      <c r="L6" s="5" t="s">
        <v>88</v>
      </c>
      <c r="M6" s="5" t="s">
        <v>699</v>
      </c>
      <c r="N6" s="5" t="s">
        <v>700</v>
      </c>
      <c r="O6" s="5" t="s">
        <v>701</v>
      </c>
      <c r="P6" s="5" t="s">
        <v>702</v>
      </c>
      <c r="Q6" s="5" t="s">
        <v>696</v>
      </c>
      <c r="R6" s="5" t="s">
        <v>674</v>
      </c>
      <c r="S6" s="5" t="s">
        <v>675</v>
      </c>
      <c r="T6" s="5" t="s">
        <v>676</v>
      </c>
      <c r="U6" s="5" t="s">
        <v>5</v>
      </c>
      <c r="V6" s="5" t="s">
        <v>690</v>
      </c>
      <c r="X6" s="5" t="s">
        <v>696</v>
      </c>
      <c r="Y6" s="5" t="s">
        <v>674</v>
      </c>
      <c r="Z6" s="5" t="s">
        <v>675</v>
      </c>
      <c r="AA6" s="5" t="s">
        <v>676</v>
      </c>
      <c r="AB6" s="5" t="s">
        <v>677</v>
      </c>
      <c r="AC6" s="5" t="s">
        <v>106</v>
      </c>
    </row>
    <row r="7" spans="2:29">
      <c r="B7" s="4" cm="1">
        <f t="array" ref="B7">IFERROR(_xlfn.TAKE(_xlfn.SORTBY(_xlfn._xlws.FILTER(_xlfn.CHOOSECOLS(tblMasterDatabase, 1, 2, 3, 4, 5, 7), tblMasterDatabase[Status]=""), _xlfn._xlws.FILTER(tblMasterDatabase[ROI], tblMasterDatabase[Status]=""), -1), 10), "All solved!")</f>
        <v>0</v>
      </c>
      <c r="J7" s="4" cm="1">
        <f t="array" ref="J7">IFERROR(_xlfn.TAKE(_xlfn.SORTBY(_xlfn._xlws.FILTER(_xlfn.CHOOSECOLS(tblPatternTracker, 1, 2, 3, 4, 5, 9, 10), tblPatternTracker[Solved]&gt;0), _xlfn._xlws.FILTER(tblPatternTracker[Mastery Score], tblPatternTracker[Solved]&gt;0), 1), 5), "None")</f>
        <v>0</v>
      </c>
      <c r="Q7" s="4" cm="1">
        <f t="array" ref="Q7">IFERROR(_xlfn.TAKE(_xlfn.SORTBY(_xlfn._xlws.FILTER(_xlfn.CHOOSECOLS(tblMasterDatabase, 1, 2, 3, 4, 23, 25), (tblMasterDatabase[Next Revision]&lt;TODAY()) * (tblMasterDatabase[Status]&lt;&gt;"")), _xlfn._xlws.FILTER(tblMasterDatabase[Next Revision], (tblMasterDatabase[Next Revision]&lt;TODAY()) * (tblMasterDatabase[Status]&lt;&gt;"")), 1), 5), "All revisions caught up!")</f>
        <v>0</v>
      </c>
      <c r="X7" s="4" cm="1">
        <f t="array" ref="X7">IFERROR(_xlfn.TAKE(_xlfn.SORTBY(_xlfn._xlws.FILTER(_xlfn.CHOOSECOLS(tblMasterDatabase, 1, 2, 3, 4, 5, 7), (tblMasterDatabase[Status]="") * (tblMasterDatabase[ROI]&gt;=9)), _xlfn._xlws.FILTER(tblMasterDatabase[ROI], (tblMasterDatabase[Status]="") * (tblMasterDatabase[ROI]&gt;=9)), -1), 5), "No High ROI problems left!")</f>
        <v>0</v>
      </c>
    </row>
    <row r="20" spans="2:15">
      <c r="B20" s="3" t="s">
        <v>705</v>
      </c>
      <c r="J20" s="3" t="s">
        <v>706</v>
      </c>
    </row>
    <row r="21" spans="2:15">
      <c r="B21" s="5" t="s">
        <v>696</v>
      </c>
      <c r="C21" s="5" t="s">
        <v>674</v>
      </c>
      <c r="D21" s="5" t="s">
        <v>675</v>
      </c>
      <c r="E21" s="5" t="s">
        <v>676</v>
      </c>
      <c r="F21" s="5" t="s">
        <v>5</v>
      </c>
      <c r="G21" s="5" t="s">
        <v>689</v>
      </c>
      <c r="J21" s="5" t="s">
        <v>696</v>
      </c>
      <c r="K21" s="5" t="s">
        <v>674</v>
      </c>
      <c r="L21" s="5" t="s">
        <v>675</v>
      </c>
      <c r="M21" s="5" t="s">
        <v>676</v>
      </c>
      <c r="N21" s="5" t="s">
        <v>680</v>
      </c>
      <c r="O21" s="5" t="s">
        <v>106</v>
      </c>
    </row>
    <row r="22" spans="2:15">
      <c r="B22" s="4" cm="1">
        <f t="array" ref="B22">IFERROR(_xlfn.TAKE(_xlfn.SORTBY(_xlfn._xlws.FILTER(_xlfn.CHOOSECOLS(tblMasterDatabase, 1, 2, 3, 4, 23, 24), (tblMasterDatabase[Status]="Red") + (tblMasterDatabase[Status]="Yellow")), _xlfn._xlws.FILTER(tblMasterDatabase[Revision Count], (tblMasterDatabase[Status]="Red") + (tblMasterDatabase[Status]="Yellow")), -1), 5), "No frequently missed problems!")</f>
        <v>0</v>
      </c>
      <c r="J22" s="4" cm="1">
        <f t="array" ref="J22">IFERROR(_xlfn.TAKE(_xlfn.SORTBY(_xlfn._xlws.FILTER(_xlfn.CHOOSECOLS(tblMasterDatabase, 1, 2, 3, 4, 14, 7), (tblMasterDatabase[Status]="") * (tblMasterDatabase[Company Tags]&lt;&gt;"")), _xlfn._xlws.FILTER(tblMasterDatabase[ROI], (tblMasterDatabase[Status]="") * (tblMasterDatabase[Company Tags]&lt;&gt;"")), -1), 5), "No company recommendations!")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2:L9"/>
  <sheetViews>
    <sheetView showGridLines="0" workbookViewId="0"/>
  </sheetViews>
  <sheetFormatPr defaultRowHeight="15"/>
  <cols>
    <col min="1" max="1" width="3.7109375" customWidth="1"/>
    <col min="2" max="2" width="8.7109375" customWidth="1"/>
    <col min="3" max="3" width="30.7109375" customWidth="1"/>
    <col min="4" max="4" width="15.7109375" customWidth="1"/>
    <col min="5" max="5" width="20.7109375" customWidth="1"/>
    <col min="6" max="7" width="12.7109375" customWidth="1"/>
    <col min="8" max="8" width="8.7109375" customWidth="1"/>
    <col min="9" max="9" width="22.7109375" customWidth="1"/>
    <col min="10" max="10" width="10.7109375" customWidth="1"/>
    <col min="11" max="11" width="12.7109375" customWidth="1"/>
    <col min="12" max="12" width="14.7109375" customWidth="1"/>
  </cols>
  <sheetData>
    <row r="2" spans="2:12">
      <c r="B2" s="1" t="s">
        <v>707</v>
      </c>
    </row>
    <row r="3" spans="2:12">
      <c r="B3" s="13" t="s">
        <v>708</v>
      </c>
      <c r="C3" s="14" t="s">
        <v>709</v>
      </c>
    </row>
    <row r="5" spans="2:12">
      <c r="B5" s="13" t="s">
        <v>710</v>
      </c>
      <c r="D5" s="13" t="s">
        <v>711</v>
      </c>
      <c r="F5" s="13" t="s">
        <v>712</v>
      </c>
      <c r="H5" s="13" t="s">
        <v>713</v>
      </c>
    </row>
    <row r="6" spans="2:12">
      <c r="B6" s="13" t="s">
        <v>714</v>
      </c>
      <c r="D6" s="13" t="s">
        <v>715</v>
      </c>
      <c r="F6" s="13" t="s">
        <v>716</v>
      </c>
      <c r="H6" s="13" t="s">
        <v>717</v>
      </c>
    </row>
    <row r="8" spans="2:12">
      <c r="B8" s="5" t="s">
        <v>696</v>
      </c>
      <c r="C8" s="5" t="s">
        <v>674</v>
      </c>
      <c r="D8" s="5" t="s">
        <v>675</v>
      </c>
      <c r="E8" s="5" t="s">
        <v>676</v>
      </c>
      <c r="F8" s="5" t="s">
        <v>677</v>
      </c>
      <c r="G8" s="5" t="s">
        <v>678</v>
      </c>
      <c r="H8" s="5" t="s">
        <v>106</v>
      </c>
      <c r="I8" s="5" t="s">
        <v>680</v>
      </c>
      <c r="J8" s="5" t="s">
        <v>5</v>
      </c>
      <c r="K8" s="5" t="s">
        <v>688</v>
      </c>
      <c r="L8" s="5" t="s">
        <v>690</v>
      </c>
    </row>
    <row r="9" spans="2:12">
      <c r="B9" s="4" cm="1">
        <f t="array" ref="B9">IFERROR(_xlfn.CHOOSECOLS(_xlfn._xlws.FILTER(tblMasterDatabase, IF(C3="High ROI", (tblMasterDatabase[ROI]&gt;=8)*(tblMasterDatabase[Status]=""), IF(C3="Needs Revision", (tblMasterDatabase[Next Revision]&lt;=TODAY())*(tblMasterDatabase[Status]&lt;&gt;""), IF(C3="Overdue", (tblMasterDatabase[Next Revision]&lt;TODAY())*(tblMasterDatabase[Status]&lt;&gt;""), IF(C3="Low Confidence", (tblMasterDatabase[Confidence]&lt;=2)*(tblMasterDatabase[Confidence]&lt;&gt;""), IF(C3="Trees", (tblMasterDatabase[Topic]="Binary Trees")+(tblMasterDatabase[Topic]="BST"), IF(C3="Sliding Window", tblMasterDatabase[Pattern]="Sliding Window", IF(C3="Company Recommended", (tblMasterDatabase[Company Tags]&lt;&gt;"")*(tblMasterDatabase[Status]=""), 1))))))) * (C5="" + ISNUMBER(SEARCH(C5, tblMasterDatabase[Problem Name]))) * (E5="" + (tblMasterDatabase[Topic]=E5)) * (G5="" + (tblMasterDatabase[Pattern]=G5)) * (I5="" + ISNUMBER(SEARCH(I5, tblMasterDatabase[Company Tags]))) * (C6="" + (tblMasterDatabase[ROI]&gt;=C6)) * (E6="" + (tblMasterDatabase[Difficulty]=E6)) * (G6="" + (tblMasterDatabase[Confidence]=G6)) * (I6="" + IF(I6="Yes", tblMasterDatabase[Next Revision]&lt;=TODAY(), tblMasterDatabase[Next Revision]&gt;TODAY()))), 1, 2, 3, 4, 5, 6, 7, 14, 23, 22, 25), "No problems match your filter/search criteria!")</f>
        <v>0</v>
      </c>
    </row>
  </sheetData>
  <dataValidations count="7">
    <dataValidation type="list" allowBlank="1" showInputMessage="1" showErrorMessage="1" sqref="C3">
      <formula1>"All,High ROI,Needs Revision,Overdue,Low Confidence,Trees,Sliding Window,Company Recommended"</formula1>
    </dataValidation>
    <dataValidation type="list" allowBlank="1" showInputMessage="1" showErrorMessage="1" sqref="E5">
      <formula1>Settings!$J$2:$J$17</formula1>
    </dataValidation>
    <dataValidation type="list" allowBlank="1" showInputMessage="1" showErrorMessage="1" sqref="G5">
      <formula1>Settings!$D$2:$D$28</formula1>
    </dataValidation>
    <dataValidation type="list" allowBlank="1" showInputMessage="1" showErrorMessage="1" sqref="I5">
      <formula1>Settings!$E$2:$E$11</formula1>
    </dataValidation>
    <dataValidation type="list" allowBlank="1" showInputMessage="1" showErrorMessage="1" sqref="E6">
      <formula1>Settings!$B$2:$B$4</formula1>
    </dataValidation>
    <dataValidation type="list" allowBlank="1" showInputMessage="1" showErrorMessage="1" sqref="G6">
      <formula1>Settings!$F$2:$F$6</formula1>
    </dataValidation>
    <dataValidation type="list" allowBlank="1" showInputMessage="1" showErrorMessage="1" sqref="I6">
      <formula1>"Yes,No"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B3:J35"/>
  <sheetViews>
    <sheetView showGridLines="0" workbookViewId="0"/>
  </sheetViews>
  <sheetFormatPr defaultRowHeight="15"/>
  <cols>
    <col min="1" max="1" width="3.7109375" customWidth="1"/>
    <col min="2" max="2" width="12.7109375" customWidth="1"/>
    <col min="3" max="3" width="30.7109375" customWidth="1"/>
    <col min="4" max="4" width="15.7109375" customWidth="1"/>
    <col min="5" max="5" width="20.7109375" customWidth="1"/>
    <col min="6" max="6" width="12.7109375" customWidth="1"/>
    <col min="7" max="7" width="14.7109375" customWidth="1"/>
    <col min="8" max="8" width="8.7109375" customWidth="1"/>
    <col min="9" max="9" width="12.7109375" customWidth="1"/>
    <col min="10" max="10" width="15.7109375" customWidth="1"/>
  </cols>
  <sheetData>
    <row r="3" spans="2:10">
      <c r="B3" s="3" t="s">
        <v>718</v>
      </c>
    </row>
    <row r="4" spans="2:10">
      <c r="B4" s="5" t="s">
        <v>696</v>
      </c>
      <c r="C4" s="5" t="s">
        <v>674</v>
      </c>
      <c r="D4" s="5" t="s">
        <v>675</v>
      </c>
      <c r="E4" s="5" t="s">
        <v>676</v>
      </c>
      <c r="F4" s="5" t="s">
        <v>677</v>
      </c>
      <c r="G4" s="5" t="s">
        <v>678</v>
      </c>
      <c r="H4" s="5" t="s">
        <v>106</v>
      </c>
      <c r="I4" s="5" t="s">
        <v>5</v>
      </c>
      <c r="J4" s="5" t="s">
        <v>690</v>
      </c>
    </row>
    <row r="5" spans="2:10">
      <c r="B5" s="4" cm="1">
        <f t="array" ref="B5">IFERROR(_xlfn.CHOOSECOLS(_xlfn.SORTBY(_xlfn._xlws.FILTER(tblMasterDatabase, (tblMasterDatabase[Next Revision]&lt;TODAY()) * (tblMasterDatabase[Status]&lt;&gt;"")), _xlfn._xlws.FILTER(tblMasterDatabase[Revision Priority], (tblMasterDatabase[Next Revision]&lt;TODAY()) * (tblMasterDatabase[Status]&lt;&gt;"")), 1), 1, 2, 3, 4, 5, 6, 7, 23, 25), "No overdue revisions!")</f>
        <v>0</v>
      </c>
    </row>
    <row r="13" spans="2:10">
      <c r="B13" s="3" t="s">
        <v>719</v>
      </c>
    </row>
    <row r="14" spans="2:10">
      <c r="B14" s="5" t="s">
        <v>696</v>
      </c>
      <c r="C14" s="5" t="s">
        <v>674</v>
      </c>
      <c r="D14" s="5" t="s">
        <v>675</v>
      </c>
      <c r="E14" s="5" t="s">
        <v>676</v>
      </c>
      <c r="F14" s="5" t="s">
        <v>677</v>
      </c>
      <c r="G14" s="5" t="s">
        <v>678</v>
      </c>
      <c r="H14" s="5" t="s">
        <v>106</v>
      </c>
      <c r="I14" s="5" t="s">
        <v>5</v>
      </c>
      <c r="J14" s="5" t="s">
        <v>690</v>
      </c>
    </row>
    <row r="15" spans="2:10">
      <c r="B15" s="4" cm="1">
        <f t="array" ref="B15">IFERROR(_xlfn.CHOOSECOLS(_xlfn.SORTBY(_xlfn._xlws.FILTER(tblMasterDatabase, (tblMasterDatabase[Next Revision]=TODAY()) * (tblMasterDatabase[Status]&lt;&gt;"")), _xlfn._xlws.FILTER(tblMasterDatabase[Revision Priority], (tblMasterDatabase[Next Revision]=TODAY()) * (tblMasterDatabase[Status]&lt;&gt;"")), 1), 1, 2, 3, 4, 5, 6, 7, 23, 25), "No revisions due today!")</f>
        <v>0</v>
      </c>
    </row>
    <row r="23" spans="2:10">
      <c r="B23" s="3" t="s">
        <v>720</v>
      </c>
    </row>
    <row r="24" spans="2:10">
      <c r="B24" s="5" t="s">
        <v>696</v>
      </c>
      <c r="C24" s="5" t="s">
        <v>674</v>
      </c>
      <c r="D24" s="5" t="s">
        <v>675</v>
      </c>
      <c r="E24" s="5" t="s">
        <v>676</v>
      </c>
      <c r="F24" s="5" t="s">
        <v>677</v>
      </c>
      <c r="G24" s="5" t="s">
        <v>678</v>
      </c>
      <c r="H24" s="5" t="s">
        <v>106</v>
      </c>
      <c r="I24" s="5" t="s">
        <v>5</v>
      </c>
      <c r="J24" s="5" t="s">
        <v>690</v>
      </c>
    </row>
    <row r="25" spans="2:10">
      <c r="B25" s="4" cm="1">
        <f t="array" ref="B25">IFERROR(_xlfn.CHOOSECOLS(_xlfn._xlws.FILTER(tblMasterDatabase, (tblMasterDatabase[Next Revision]=TODAY()+1) * (tblMasterDatabase[Status]&lt;&gt;"")), 1, 2, 3, 4, 5, 6, 7, 23, 25), "No revisions tomorrow!")</f>
        <v>0</v>
      </c>
    </row>
    <row r="33" spans="2:10">
      <c r="B33" s="3" t="s">
        <v>721</v>
      </c>
    </row>
    <row r="34" spans="2:10">
      <c r="B34" s="5" t="s">
        <v>696</v>
      </c>
      <c r="C34" s="5" t="s">
        <v>674</v>
      </c>
      <c r="D34" s="5" t="s">
        <v>675</v>
      </c>
      <c r="E34" s="5" t="s">
        <v>676</v>
      </c>
      <c r="F34" s="5" t="s">
        <v>677</v>
      </c>
      <c r="G34" s="5" t="s">
        <v>678</v>
      </c>
      <c r="H34" s="5" t="s">
        <v>106</v>
      </c>
      <c r="I34" s="5" t="s">
        <v>5</v>
      </c>
      <c r="J34" s="5" t="s">
        <v>690</v>
      </c>
    </row>
    <row r="35" spans="2:10">
      <c r="B35" s="4" cm="1">
        <f t="array" ref="B35">IFERROR(_xlfn.CHOOSECOLS(_xlfn._xlws.FILTER(tblMasterDatabase, (tblMasterDatabase[Next Revision]&gt;TODAY()+1) * (tblMasterDatabase[Next Revision]&lt;=TODAY()+7) * (tblMasterDatabase[Status]&lt;&gt;"")), 1, 2, 3, 4, 5, 6, 7, 23, 25), "No upcoming revisions!")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A4"/>
  <sheetViews>
    <sheetView showGridLines="0" workbookViewId="0"/>
  </sheetViews>
  <sheetFormatPr defaultRowHeight="15"/>
  <cols>
    <col min="1" max="27" width="15.7109375" customWidth="1"/>
  </cols>
  <sheetData>
    <row r="1" spans="1:27">
      <c r="A1" s="1" t="s">
        <v>722</v>
      </c>
    </row>
    <row r="3" spans="1:27">
      <c r="A3" s="5" t="s">
        <v>673</v>
      </c>
      <c r="B3" s="5" t="s">
        <v>674</v>
      </c>
      <c r="C3" s="5" t="s">
        <v>675</v>
      </c>
      <c r="D3" s="5" t="s">
        <v>676</v>
      </c>
      <c r="E3" s="5" t="s">
        <v>677</v>
      </c>
      <c r="F3" s="5" t="s">
        <v>678</v>
      </c>
      <c r="G3" s="5" t="s">
        <v>106</v>
      </c>
      <c r="H3" s="5" t="s">
        <v>107</v>
      </c>
      <c r="I3" s="5" t="s">
        <v>679</v>
      </c>
      <c r="J3" s="5" t="s">
        <v>98</v>
      </c>
      <c r="K3" s="5" t="s">
        <v>101</v>
      </c>
      <c r="L3" s="5" t="s">
        <v>102</v>
      </c>
      <c r="M3" s="5" t="s">
        <v>103</v>
      </c>
      <c r="N3" s="5" t="s">
        <v>680</v>
      </c>
      <c r="O3" s="5" t="s">
        <v>681</v>
      </c>
      <c r="P3" s="5" t="s">
        <v>682</v>
      </c>
      <c r="Q3" s="5" t="s">
        <v>683</v>
      </c>
      <c r="R3" s="5" t="s">
        <v>684</v>
      </c>
      <c r="S3" s="5" t="s">
        <v>685</v>
      </c>
      <c r="T3" s="5" t="s">
        <v>686</v>
      </c>
      <c r="U3" s="5" t="s">
        <v>687</v>
      </c>
      <c r="V3" s="5" t="s">
        <v>688</v>
      </c>
      <c r="W3" s="5" t="s">
        <v>5</v>
      </c>
      <c r="X3" s="5" t="s">
        <v>689</v>
      </c>
      <c r="Y3" s="5" t="s">
        <v>690</v>
      </c>
      <c r="Z3" s="5" t="s">
        <v>691</v>
      </c>
      <c r="AA3" s="5" t="s">
        <v>692</v>
      </c>
    </row>
    <row r="4" spans="1:27">
      <c r="A4" s="4" cm="1">
        <f t="array" ref="A4">IFERROR(_xlfn._xlws.FILTER(tblMasterDatabase, tblMasterDatabase[Status]="Green"), "No Green problems solved yet.")</f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A4"/>
  <sheetViews>
    <sheetView showGridLines="0" workbookViewId="0"/>
  </sheetViews>
  <sheetFormatPr defaultRowHeight="15"/>
  <cols>
    <col min="1" max="27" width="15.7109375" customWidth="1"/>
  </cols>
  <sheetData>
    <row r="1" spans="1:27">
      <c r="A1" s="1" t="s">
        <v>723</v>
      </c>
    </row>
    <row r="3" spans="1:27">
      <c r="A3" s="5" t="s">
        <v>673</v>
      </c>
      <c r="B3" s="5" t="s">
        <v>674</v>
      </c>
      <c r="C3" s="5" t="s">
        <v>675</v>
      </c>
      <c r="D3" s="5" t="s">
        <v>676</v>
      </c>
      <c r="E3" s="5" t="s">
        <v>677</v>
      </c>
      <c r="F3" s="5" t="s">
        <v>678</v>
      </c>
      <c r="G3" s="5" t="s">
        <v>106</v>
      </c>
      <c r="H3" s="5" t="s">
        <v>107</v>
      </c>
      <c r="I3" s="5" t="s">
        <v>679</v>
      </c>
      <c r="J3" s="5" t="s">
        <v>98</v>
      </c>
      <c r="K3" s="5" t="s">
        <v>101</v>
      </c>
      <c r="L3" s="5" t="s">
        <v>102</v>
      </c>
      <c r="M3" s="5" t="s">
        <v>103</v>
      </c>
      <c r="N3" s="5" t="s">
        <v>680</v>
      </c>
      <c r="O3" s="5" t="s">
        <v>681</v>
      </c>
      <c r="P3" s="5" t="s">
        <v>682</v>
      </c>
      <c r="Q3" s="5" t="s">
        <v>683</v>
      </c>
      <c r="R3" s="5" t="s">
        <v>684</v>
      </c>
      <c r="S3" s="5" t="s">
        <v>685</v>
      </c>
      <c r="T3" s="5" t="s">
        <v>686</v>
      </c>
      <c r="U3" s="5" t="s">
        <v>687</v>
      </c>
      <c r="V3" s="5" t="s">
        <v>688</v>
      </c>
      <c r="W3" s="5" t="s">
        <v>5</v>
      </c>
      <c r="X3" s="5" t="s">
        <v>689</v>
      </c>
      <c r="Y3" s="5" t="s">
        <v>690</v>
      </c>
      <c r="Z3" s="5" t="s">
        <v>691</v>
      </c>
      <c r="AA3" s="5" t="s">
        <v>692</v>
      </c>
    </row>
    <row r="4" spans="1:27">
      <c r="A4" s="4" cm="1">
        <f t="array" ref="A4">IFERROR(_xlfn._xlws.FILTER(tblMasterDatabase, tblMasterDatabase[Status]="Yellow"), "No Yellow problems solved yet.")</f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A4"/>
  <sheetViews>
    <sheetView showGridLines="0" workbookViewId="0"/>
  </sheetViews>
  <sheetFormatPr defaultRowHeight="15"/>
  <cols>
    <col min="1" max="27" width="15.7109375" customWidth="1"/>
  </cols>
  <sheetData>
    <row r="1" spans="1:27">
      <c r="A1" s="1" t="s">
        <v>724</v>
      </c>
    </row>
    <row r="3" spans="1:27">
      <c r="A3" s="5" t="s">
        <v>673</v>
      </c>
      <c r="B3" s="5" t="s">
        <v>674</v>
      </c>
      <c r="C3" s="5" t="s">
        <v>675</v>
      </c>
      <c r="D3" s="5" t="s">
        <v>676</v>
      </c>
      <c r="E3" s="5" t="s">
        <v>677</v>
      </c>
      <c r="F3" s="5" t="s">
        <v>678</v>
      </c>
      <c r="G3" s="5" t="s">
        <v>106</v>
      </c>
      <c r="H3" s="5" t="s">
        <v>107</v>
      </c>
      <c r="I3" s="5" t="s">
        <v>679</v>
      </c>
      <c r="J3" s="5" t="s">
        <v>98</v>
      </c>
      <c r="K3" s="5" t="s">
        <v>101</v>
      </c>
      <c r="L3" s="5" t="s">
        <v>102</v>
      </c>
      <c r="M3" s="5" t="s">
        <v>103</v>
      </c>
      <c r="N3" s="5" t="s">
        <v>680</v>
      </c>
      <c r="O3" s="5" t="s">
        <v>681</v>
      </c>
      <c r="P3" s="5" t="s">
        <v>682</v>
      </c>
      <c r="Q3" s="5" t="s">
        <v>683</v>
      </c>
      <c r="R3" s="5" t="s">
        <v>684</v>
      </c>
      <c r="S3" s="5" t="s">
        <v>685</v>
      </c>
      <c r="T3" s="5" t="s">
        <v>686</v>
      </c>
      <c r="U3" s="5" t="s">
        <v>687</v>
      </c>
      <c r="V3" s="5" t="s">
        <v>688</v>
      </c>
      <c r="W3" s="5" t="s">
        <v>5</v>
      </c>
      <c r="X3" s="5" t="s">
        <v>689</v>
      </c>
      <c r="Y3" s="5" t="s">
        <v>690</v>
      </c>
      <c r="Z3" s="5" t="s">
        <v>691</v>
      </c>
      <c r="AA3" s="5" t="s">
        <v>692</v>
      </c>
    </row>
    <row r="4" spans="1:27">
      <c r="A4" s="4" cm="1">
        <f t="array" ref="A4">IFERROR(_xlfn._xlws.FILTER(tblMasterDatabase, tblMasterDatabase[Status]="Red"), "No Red problems solved yet.")</f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29"/>
  <sheetViews>
    <sheetView showGridLines="0" workbookViewId="0"/>
  </sheetViews>
  <sheetFormatPr defaultRowHeight="15"/>
  <cols>
    <col min="1" max="10" width="18.7109375" customWidth="1"/>
  </cols>
  <sheetData>
    <row r="1" spans="1:10">
      <c r="A1" s="1" t="s">
        <v>725</v>
      </c>
    </row>
    <row r="3" spans="1:10">
      <c r="A3" t="s">
        <v>97</v>
      </c>
      <c r="B3" t="s">
        <v>726</v>
      </c>
      <c r="C3" t="s">
        <v>88</v>
      </c>
      <c r="D3" t="s">
        <v>699</v>
      </c>
      <c r="E3" t="s">
        <v>727</v>
      </c>
      <c r="F3" t="s">
        <v>728</v>
      </c>
      <c r="G3" t="s">
        <v>729</v>
      </c>
      <c r="H3" t="s">
        <v>689</v>
      </c>
      <c r="I3" t="s">
        <v>730</v>
      </c>
      <c r="J3" t="s">
        <v>702</v>
      </c>
    </row>
    <row r="4" spans="1:10">
      <c r="A4" s="4" t="s">
        <v>39</v>
      </c>
      <c r="B4" s="11">
        <f>COUNTIF(tblMasterDatabase[Pattern], A4)</f>
        <v>0</v>
      </c>
      <c r="C4" s="11">
        <f>COUNTIFS(tblMasterDatabase[Pattern], A4, tblMasterDatabase[Status], "&lt;&gt;")</f>
        <v>0</v>
      </c>
      <c r="D4" s="15">
        <f>IF(B4=0, 0, C4/B4)</f>
        <v>0</v>
      </c>
      <c r="E4" s="11">
        <f>IF(C4=0, 0, AVERAGEIFS(tblMasterDatabase[Confidence], tblMasterDatabase[Pattern], A4, tblMasterDatabase[Status], "&lt;&gt;"))</f>
        <v>0</v>
      </c>
      <c r="F4" s="11">
        <f>IF(C4=0, 0, AVERAGEIFS(tblMasterDatabase[Time Taken], tblMasterDatabase[Pattern], A4, tblMasterDatabase[Status], "&lt;&gt;"))</f>
        <v>0</v>
      </c>
      <c r="G4" s="15">
        <f>IF(C4=0, 0, COUNTIFS(tblMasterDatabase[Pattern], A4, tblMasterDatabase[Hint Used], "Yes") / C4)</f>
        <v>0</v>
      </c>
      <c r="H4" s="11">
        <f>SUMIFS(tblMasterDatabase[Revision Count], tblMasterDatabase[Pattern], A4)</f>
        <v>0</v>
      </c>
      <c r="I4" s="15">
        <f>D4 * E4 / 5</f>
        <v>0</v>
      </c>
      <c r="J4" s="12">
        <f>IF(C4=0, "Not Started", IF(E4&lt;=2.5, "Weak (High Risk)", IF(E4&lt;=3.5, "Medium", "Strong")))</f>
        <v>0</v>
      </c>
    </row>
    <row r="5" spans="1:10">
      <c r="A5" s="4" t="s">
        <v>40</v>
      </c>
      <c r="B5" s="11">
        <f>COUNTIF(tblMasterDatabase[Pattern], A5)</f>
        <v>0</v>
      </c>
      <c r="C5" s="11">
        <f>COUNTIFS(tblMasterDatabase[Pattern], A5, tblMasterDatabase[Status], "&lt;&gt;")</f>
        <v>0</v>
      </c>
      <c r="D5" s="15">
        <f>IF(B5=0, 0, C5/B5)</f>
        <v>0</v>
      </c>
      <c r="E5" s="11">
        <f>IF(C5=0, 0, AVERAGEIFS(tblMasterDatabase[Confidence], tblMasterDatabase[Pattern], A5, tblMasterDatabase[Status], "&lt;&gt;"))</f>
        <v>0</v>
      </c>
      <c r="F5" s="11">
        <f>IF(C5=0, 0, AVERAGEIFS(tblMasterDatabase[Time Taken], tblMasterDatabase[Pattern], A5, tblMasterDatabase[Status], "&lt;&gt;"))</f>
        <v>0</v>
      </c>
      <c r="G5" s="15">
        <f>IF(C5=0, 0, COUNTIFS(tblMasterDatabase[Pattern], A5, tblMasterDatabase[Hint Used], "Yes") / C5)</f>
        <v>0</v>
      </c>
      <c r="H5" s="11">
        <f>SUMIFS(tblMasterDatabase[Revision Count], tblMasterDatabase[Pattern], A5)</f>
        <v>0</v>
      </c>
      <c r="I5" s="15">
        <f>D5 * E5 / 5</f>
        <v>0</v>
      </c>
      <c r="J5" s="12">
        <f>IF(C5=0, "Not Started", IF(E5&lt;=2.5, "Weak (High Risk)", IF(E5&lt;=3.5, "Medium", "Strong")))</f>
        <v>0</v>
      </c>
    </row>
    <row r="6" spans="1:10">
      <c r="A6" s="4" t="s">
        <v>41</v>
      </c>
      <c r="B6" s="11">
        <f>COUNTIF(tblMasterDatabase[Pattern], A6)</f>
        <v>0</v>
      </c>
      <c r="C6" s="11">
        <f>COUNTIFS(tblMasterDatabase[Pattern], A6, tblMasterDatabase[Status], "&lt;&gt;")</f>
        <v>0</v>
      </c>
      <c r="D6" s="15">
        <f>IF(B6=0, 0, C6/B6)</f>
        <v>0</v>
      </c>
      <c r="E6" s="11">
        <f>IF(C6=0, 0, AVERAGEIFS(tblMasterDatabase[Confidence], tblMasterDatabase[Pattern], A6, tblMasterDatabase[Status], "&lt;&gt;"))</f>
        <v>0</v>
      </c>
      <c r="F6" s="11">
        <f>IF(C6=0, 0, AVERAGEIFS(tblMasterDatabase[Time Taken], tblMasterDatabase[Pattern], A6, tblMasterDatabase[Status], "&lt;&gt;"))</f>
        <v>0</v>
      </c>
      <c r="G6" s="15">
        <f>IF(C6=0, 0, COUNTIFS(tblMasterDatabase[Pattern], A6, tblMasterDatabase[Hint Used], "Yes") / C6)</f>
        <v>0</v>
      </c>
      <c r="H6" s="11">
        <f>SUMIFS(tblMasterDatabase[Revision Count], tblMasterDatabase[Pattern], A6)</f>
        <v>0</v>
      </c>
      <c r="I6" s="15">
        <f>D6 * E6 / 5</f>
        <v>0</v>
      </c>
      <c r="J6" s="12">
        <f>IF(C6=0, "Not Started", IF(E6&lt;=2.5, "Weak (High Risk)", IF(E6&lt;=3.5, "Medium", "Strong")))</f>
        <v>0</v>
      </c>
    </row>
    <row r="7" spans="1:10">
      <c r="A7" s="4" t="s">
        <v>42</v>
      </c>
      <c r="B7" s="11">
        <f>COUNTIF(tblMasterDatabase[Pattern], A7)</f>
        <v>0</v>
      </c>
      <c r="C7" s="11">
        <f>COUNTIFS(tblMasterDatabase[Pattern], A7, tblMasterDatabase[Status], "&lt;&gt;")</f>
        <v>0</v>
      </c>
      <c r="D7" s="15">
        <f>IF(B7=0, 0, C7/B7)</f>
        <v>0</v>
      </c>
      <c r="E7" s="11">
        <f>IF(C7=0, 0, AVERAGEIFS(tblMasterDatabase[Confidence], tblMasterDatabase[Pattern], A7, tblMasterDatabase[Status], "&lt;&gt;"))</f>
        <v>0</v>
      </c>
      <c r="F7" s="11">
        <f>IF(C7=0, 0, AVERAGEIFS(tblMasterDatabase[Time Taken], tblMasterDatabase[Pattern], A7, tblMasterDatabase[Status], "&lt;&gt;"))</f>
        <v>0</v>
      </c>
      <c r="G7" s="15">
        <f>IF(C7=0, 0, COUNTIFS(tblMasterDatabase[Pattern], A7, tblMasterDatabase[Hint Used], "Yes") / C7)</f>
        <v>0</v>
      </c>
      <c r="H7" s="11">
        <f>SUMIFS(tblMasterDatabase[Revision Count], tblMasterDatabase[Pattern], A7)</f>
        <v>0</v>
      </c>
      <c r="I7" s="15">
        <f>D7 * E7 / 5</f>
        <v>0</v>
      </c>
      <c r="J7" s="12">
        <f>IF(C7=0, "Not Started", IF(E7&lt;=2.5, "Weak (High Risk)", IF(E7&lt;=3.5, "Medium", "Strong")))</f>
        <v>0</v>
      </c>
    </row>
    <row r="8" spans="1:10">
      <c r="A8" s="4" t="s">
        <v>43</v>
      </c>
      <c r="B8" s="11">
        <f>COUNTIF(tblMasterDatabase[Pattern], A8)</f>
        <v>0</v>
      </c>
      <c r="C8" s="11">
        <f>COUNTIFS(tblMasterDatabase[Pattern], A8, tblMasterDatabase[Status], "&lt;&gt;")</f>
        <v>0</v>
      </c>
      <c r="D8" s="15">
        <f>IF(B8=0, 0, C8/B8)</f>
        <v>0</v>
      </c>
      <c r="E8" s="11">
        <f>IF(C8=0, 0, AVERAGEIFS(tblMasterDatabase[Confidence], tblMasterDatabase[Pattern], A8, tblMasterDatabase[Status], "&lt;&gt;"))</f>
        <v>0</v>
      </c>
      <c r="F8" s="11">
        <f>IF(C8=0, 0, AVERAGEIFS(tblMasterDatabase[Time Taken], tblMasterDatabase[Pattern], A8, tblMasterDatabase[Status], "&lt;&gt;"))</f>
        <v>0</v>
      </c>
      <c r="G8" s="15">
        <f>IF(C8=0, 0, COUNTIFS(tblMasterDatabase[Pattern], A8, tblMasterDatabase[Hint Used], "Yes") / C8)</f>
        <v>0</v>
      </c>
      <c r="H8" s="11">
        <f>SUMIFS(tblMasterDatabase[Revision Count], tblMasterDatabase[Pattern], A8)</f>
        <v>0</v>
      </c>
      <c r="I8" s="15">
        <f>D8 * E8 / 5</f>
        <v>0</v>
      </c>
      <c r="J8" s="12">
        <f>IF(C8=0, "Not Started", IF(E8&lt;=2.5, "Weak (High Risk)", IF(E8&lt;=3.5, "Medium", "Strong")))</f>
        <v>0</v>
      </c>
    </row>
    <row r="9" spans="1:10">
      <c r="A9" s="4" t="s">
        <v>44</v>
      </c>
      <c r="B9" s="11">
        <f>COUNTIF(tblMasterDatabase[Pattern], A9)</f>
        <v>0</v>
      </c>
      <c r="C9" s="11">
        <f>COUNTIFS(tblMasterDatabase[Pattern], A9, tblMasterDatabase[Status], "&lt;&gt;")</f>
        <v>0</v>
      </c>
      <c r="D9" s="15">
        <f>IF(B9=0, 0, C9/B9)</f>
        <v>0</v>
      </c>
      <c r="E9" s="11">
        <f>IF(C9=0, 0, AVERAGEIFS(tblMasterDatabase[Confidence], tblMasterDatabase[Pattern], A9, tblMasterDatabase[Status], "&lt;&gt;"))</f>
        <v>0</v>
      </c>
      <c r="F9" s="11">
        <f>IF(C9=0, 0, AVERAGEIFS(tblMasterDatabase[Time Taken], tblMasterDatabase[Pattern], A9, tblMasterDatabase[Status], "&lt;&gt;"))</f>
        <v>0</v>
      </c>
      <c r="G9" s="15">
        <f>IF(C9=0, 0, COUNTIFS(tblMasterDatabase[Pattern], A9, tblMasterDatabase[Hint Used], "Yes") / C9)</f>
        <v>0</v>
      </c>
      <c r="H9" s="11">
        <f>SUMIFS(tblMasterDatabase[Revision Count], tblMasterDatabase[Pattern], A9)</f>
        <v>0</v>
      </c>
      <c r="I9" s="15">
        <f>D9 * E9 / 5</f>
        <v>0</v>
      </c>
      <c r="J9" s="12">
        <f>IF(C9=0, "Not Started", IF(E9&lt;=2.5, "Weak (High Risk)", IF(E9&lt;=3.5, "Medium", "Strong")))</f>
        <v>0</v>
      </c>
    </row>
    <row r="10" spans="1:10">
      <c r="A10" s="4" t="s">
        <v>45</v>
      </c>
      <c r="B10" s="11">
        <f>COUNTIF(tblMasterDatabase[Pattern], A10)</f>
        <v>0</v>
      </c>
      <c r="C10" s="11">
        <f>COUNTIFS(tblMasterDatabase[Pattern], A10, tblMasterDatabase[Status], "&lt;&gt;")</f>
        <v>0</v>
      </c>
      <c r="D10" s="15">
        <f>IF(B10=0, 0, C10/B10)</f>
        <v>0</v>
      </c>
      <c r="E10" s="11">
        <f>IF(C10=0, 0, AVERAGEIFS(tblMasterDatabase[Confidence], tblMasterDatabase[Pattern], A10, tblMasterDatabase[Status], "&lt;&gt;"))</f>
        <v>0</v>
      </c>
      <c r="F10" s="11">
        <f>IF(C10=0, 0, AVERAGEIFS(tblMasterDatabase[Time Taken], tblMasterDatabase[Pattern], A10, tblMasterDatabase[Status], "&lt;&gt;"))</f>
        <v>0</v>
      </c>
      <c r="G10" s="15">
        <f>IF(C10=0, 0, COUNTIFS(tblMasterDatabase[Pattern], A10, tblMasterDatabase[Hint Used], "Yes") / C10)</f>
        <v>0</v>
      </c>
      <c r="H10" s="11">
        <f>SUMIFS(tblMasterDatabase[Revision Count], tblMasterDatabase[Pattern], A10)</f>
        <v>0</v>
      </c>
      <c r="I10" s="15">
        <f>D10 * E10 / 5</f>
        <v>0</v>
      </c>
      <c r="J10" s="12">
        <f>IF(C10=0, "Not Started", IF(E10&lt;=2.5, "Weak (High Risk)", IF(E10&lt;=3.5, "Medium", "Strong")))</f>
        <v>0</v>
      </c>
    </row>
    <row r="11" spans="1:10">
      <c r="A11" s="4" t="s">
        <v>46</v>
      </c>
      <c r="B11" s="11">
        <f>COUNTIF(tblMasterDatabase[Pattern], A11)</f>
        <v>0</v>
      </c>
      <c r="C11" s="11">
        <f>COUNTIFS(tblMasterDatabase[Pattern], A11, tblMasterDatabase[Status], "&lt;&gt;")</f>
        <v>0</v>
      </c>
      <c r="D11" s="15">
        <f>IF(B11=0, 0, C11/B11)</f>
        <v>0</v>
      </c>
      <c r="E11" s="11">
        <f>IF(C11=0, 0, AVERAGEIFS(tblMasterDatabase[Confidence], tblMasterDatabase[Pattern], A11, tblMasterDatabase[Status], "&lt;&gt;"))</f>
        <v>0</v>
      </c>
      <c r="F11" s="11">
        <f>IF(C11=0, 0, AVERAGEIFS(tblMasterDatabase[Time Taken], tblMasterDatabase[Pattern], A11, tblMasterDatabase[Status], "&lt;&gt;"))</f>
        <v>0</v>
      </c>
      <c r="G11" s="15">
        <f>IF(C11=0, 0, COUNTIFS(tblMasterDatabase[Pattern], A11, tblMasterDatabase[Hint Used], "Yes") / C11)</f>
        <v>0</v>
      </c>
      <c r="H11" s="11">
        <f>SUMIFS(tblMasterDatabase[Revision Count], tblMasterDatabase[Pattern], A11)</f>
        <v>0</v>
      </c>
      <c r="I11" s="15">
        <f>D11 * E11 / 5</f>
        <v>0</v>
      </c>
      <c r="J11" s="12">
        <f>IF(C11=0, "Not Started", IF(E11&lt;=2.5, "Weak (High Risk)", IF(E11&lt;=3.5, "Medium", "Strong")))</f>
        <v>0</v>
      </c>
    </row>
    <row r="12" spans="1:10">
      <c r="A12" s="4" t="s">
        <v>47</v>
      </c>
      <c r="B12" s="11">
        <f>COUNTIF(tblMasterDatabase[Pattern], A12)</f>
        <v>0</v>
      </c>
      <c r="C12" s="11">
        <f>COUNTIFS(tblMasterDatabase[Pattern], A12, tblMasterDatabase[Status], "&lt;&gt;")</f>
        <v>0</v>
      </c>
      <c r="D12" s="15">
        <f>IF(B12=0, 0, C12/B12)</f>
        <v>0</v>
      </c>
      <c r="E12" s="11">
        <f>IF(C12=0, 0, AVERAGEIFS(tblMasterDatabase[Confidence], tblMasterDatabase[Pattern], A12, tblMasterDatabase[Status], "&lt;&gt;"))</f>
        <v>0</v>
      </c>
      <c r="F12" s="11">
        <f>IF(C12=0, 0, AVERAGEIFS(tblMasterDatabase[Time Taken], tblMasterDatabase[Pattern], A12, tblMasterDatabase[Status], "&lt;&gt;"))</f>
        <v>0</v>
      </c>
      <c r="G12" s="15">
        <f>IF(C12=0, 0, COUNTIFS(tblMasterDatabase[Pattern], A12, tblMasterDatabase[Hint Used], "Yes") / C12)</f>
        <v>0</v>
      </c>
      <c r="H12" s="11">
        <f>SUMIFS(tblMasterDatabase[Revision Count], tblMasterDatabase[Pattern], A12)</f>
        <v>0</v>
      </c>
      <c r="I12" s="15">
        <f>D12 * E12 / 5</f>
        <v>0</v>
      </c>
      <c r="J12" s="12">
        <f>IF(C12=0, "Not Started", IF(E12&lt;=2.5, "Weak (High Risk)", IF(E12&lt;=3.5, "Medium", "Strong")))</f>
        <v>0</v>
      </c>
    </row>
    <row r="13" spans="1:10">
      <c r="A13" s="4" t="s">
        <v>48</v>
      </c>
      <c r="B13" s="11">
        <f>COUNTIF(tblMasterDatabase[Pattern], A13)</f>
        <v>0</v>
      </c>
      <c r="C13" s="11">
        <f>COUNTIFS(tblMasterDatabase[Pattern], A13, tblMasterDatabase[Status], "&lt;&gt;")</f>
        <v>0</v>
      </c>
      <c r="D13" s="15">
        <f>IF(B13=0, 0, C13/B13)</f>
        <v>0</v>
      </c>
      <c r="E13" s="11">
        <f>IF(C13=0, 0, AVERAGEIFS(tblMasterDatabase[Confidence], tblMasterDatabase[Pattern], A13, tblMasterDatabase[Status], "&lt;&gt;"))</f>
        <v>0</v>
      </c>
      <c r="F13" s="11">
        <f>IF(C13=0, 0, AVERAGEIFS(tblMasterDatabase[Time Taken], tblMasterDatabase[Pattern], A13, tblMasterDatabase[Status], "&lt;&gt;"))</f>
        <v>0</v>
      </c>
      <c r="G13" s="15">
        <f>IF(C13=0, 0, COUNTIFS(tblMasterDatabase[Pattern], A13, tblMasterDatabase[Hint Used], "Yes") / C13)</f>
        <v>0</v>
      </c>
      <c r="H13" s="11">
        <f>SUMIFS(tblMasterDatabase[Revision Count], tblMasterDatabase[Pattern], A13)</f>
        <v>0</v>
      </c>
      <c r="I13" s="15">
        <f>D13 * E13 / 5</f>
        <v>0</v>
      </c>
      <c r="J13" s="12">
        <f>IF(C13=0, "Not Started", IF(E13&lt;=2.5, "Weak (High Risk)", IF(E13&lt;=3.5, "Medium", "Strong")))</f>
        <v>0</v>
      </c>
    </row>
    <row r="14" spans="1:10">
      <c r="A14" s="4" t="s">
        <v>49</v>
      </c>
      <c r="B14" s="11">
        <f>COUNTIF(tblMasterDatabase[Pattern], A14)</f>
        <v>0</v>
      </c>
      <c r="C14" s="11">
        <f>COUNTIFS(tblMasterDatabase[Pattern], A14, tblMasterDatabase[Status], "&lt;&gt;")</f>
        <v>0</v>
      </c>
      <c r="D14" s="15">
        <f>IF(B14=0, 0, C14/B14)</f>
        <v>0</v>
      </c>
      <c r="E14" s="11">
        <f>IF(C14=0, 0, AVERAGEIFS(tblMasterDatabase[Confidence], tblMasterDatabase[Pattern], A14, tblMasterDatabase[Status], "&lt;&gt;"))</f>
        <v>0</v>
      </c>
      <c r="F14" s="11">
        <f>IF(C14=0, 0, AVERAGEIFS(tblMasterDatabase[Time Taken], tblMasterDatabase[Pattern], A14, tblMasterDatabase[Status], "&lt;&gt;"))</f>
        <v>0</v>
      </c>
      <c r="G14" s="15">
        <f>IF(C14=0, 0, COUNTIFS(tblMasterDatabase[Pattern], A14, tblMasterDatabase[Hint Used], "Yes") / C14)</f>
        <v>0</v>
      </c>
      <c r="H14" s="11">
        <f>SUMIFS(tblMasterDatabase[Revision Count], tblMasterDatabase[Pattern], A14)</f>
        <v>0</v>
      </c>
      <c r="I14" s="15">
        <f>D14 * E14 / 5</f>
        <v>0</v>
      </c>
      <c r="J14" s="12">
        <f>IF(C14=0, "Not Started", IF(E14&lt;=2.5, "Weak (High Risk)", IF(E14&lt;=3.5, "Medium", "Strong")))</f>
        <v>0</v>
      </c>
    </row>
    <row r="15" spans="1:10">
      <c r="A15" s="4" t="s">
        <v>50</v>
      </c>
      <c r="B15" s="11">
        <f>COUNTIF(tblMasterDatabase[Pattern], A15)</f>
        <v>0</v>
      </c>
      <c r="C15" s="11">
        <f>COUNTIFS(tblMasterDatabase[Pattern], A15, tblMasterDatabase[Status], "&lt;&gt;")</f>
        <v>0</v>
      </c>
      <c r="D15" s="15">
        <f>IF(B15=0, 0, C15/B15)</f>
        <v>0</v>
      </c>
      <c r="E15" s="11">
        <f>IF(C15=0, 0, AVERAGEIFS(tblMasterDatabase[Confidence], tblMasterDatabase[Pattern], A15, tblMasterDatabase[Status], "&lt;&gt;"))</f>
        <v>0</v>
      </c>
      <c r="F15" s="11">
        <f>IF(C15=0, 0, AVERAGEIFS(tblMasterDatabase[Time Taken], tblMasterDatabase[Pattern], A15, tblMasterDatabase[Status], "&lt;&gt;"))</f>
        <v>0</v>
      </c>
      <c r="G15" s="15">
        <f>IF(C15=0, 0, COUNTIFS(tblMasterDatabase[Pattern], A15, tblMasterDatabase[Hint Used], "Yes") / C15)</f>
        <v>0</v>
      </c>
      <c r="H15" s="11">
        <f>SUMIFS(tblMasterDatabase[Revision Count], tblMasterDatabase[Pattern], A15)</f>
        <v>0</v>
      </c>
      <c r="I15" s="15">
        <f>D15 * E15 / 5</f>
        <v>0</v>
      </c>
      <c r="J15" s="12">
        <f>IF(C15=0, "Not Started", IF(E15&lt;=2.5, "Weak (High Risk)", IF(E15&lt;=3.5, "Medium", "Strong")))</f>
        <v>0</v>
      </c>
    </row>
    <row r="16" spans="1:10">
      <c r="A16" s="4" t="s">
        <v>51</v>
      </c>
      <c r="B16" s="11">
        <f>COUNTIF(tblMasterDatabase[Pattern], A16)</f>
        <v>0</v>
      </c>
      <c r="C16" s="11">
        <f>COUNTIFS(tblMasterDatabase[Pattern], A16, tblMasterDatabase[Status], "&lt;&gt;")</f>
        <v>0</v>
      </c>
      <c r="D16" s="15">
        <f>IF(B16=0, 0, C16/B16)</f>
        <v>0</v>
      </c>
      <c r="E16" s="11">
        <f>IF(C16=0, 0, AVERAGEIFS(tblMasterDatabase[Confidence], tblMasterDatabase[Pattern], A16, tblMasterDatabase[Status], "&lt;&gt;"))</f>
        <v>0</v>
      </c>
      <c r="F16" s="11">
        <f>IF(C16=0, 0, AVERAGEIFS(tblMasterDatabase[Time Taken], tblMasterDatabase[Pattern], A16, tblMasterDatabase[Status], "&lt;&gt;"))</f>
        <v>0</v>
      </c>
      <c r="G16" s="15">
        <f>IF(C16=0, 0, COUNTIFS(tblMasterDatabase[Pattern], A16, tblMasterDatabase[Hint Used], "Yes") / C16)</f>
        <v>0</v>
      </c>
      <c r="H16" s="11">
        <f>SUMIFS(tblMasterDatabase[Revision Count], tblMasterDatabase[Pattern], A16)</f>
        <v>0</v>
      </c>
      <c r="I16" s="15">
        <f>D16 * E16 / 5</f>
        <v>0</v>
      </c>
      <c r="J16" s="12">
        <f>IF(C16=0, "Not Started", IF(E16&lt;=2.5, "Weak (High Risk)", IF(E16&lt;=3.5, "Medium", "Strong")))</f>
        <v>0</v>
      </c>
    </row>
    <row r="17" spans="1:10">
      <c r="A17" s="4" t="s">
        <v>52</v>
      </c>
      <c r="B17" s="11">
        <f>COUNTIF(tblMasterDatabase[Pattern], A17)</f>
        <v>0</v>
      </c>
      <c r="C17" s="11">
        <f>COUNTIFS(tblMasterDatabase[Pattern], A17, tblMasterDatabase[Status], "&lt;&gt;")</f>
        <v>0</v>
      </c>
      <c r="D17" s="15">
        <f>IF(B17=0, 0, C17/B17)</f>
        <v>0</v>
      </c>
      <c r="E17" s="11">
        <f>IF(C17=0, 0, AVERAGEIFS(tblMasterDatabase[Confidence], tblMasterDatabase[Pattern], A17, tblMasterDatabase[Status], "&lt;&gt;"))</f>
        <v>0</v>
      </c>
      <c r="F17" s="11">
        <f>IF(C17=0, 0, AVERAGEIFS(tblMasterDatabase[Time Taken], tblMasterDatabase[Pattern], A17, tblMasterDatabase[Status], "&lt;&gt;"))</f>
        <v>0</v>
      </c>
      <c r="G17" s="15">
        <f>IF(C17=0, 0, COUNTIFS(tblMasterDatabase[Pattern], A17, tblMasterDatabase[Hint Used], "Yes") / C17)</f>
        <v>0</v>
      </c>
      <c r="H17" s="11">
        <f>SUMIFS(tblMasterDatabase[Revision Count], tblMasterDatabase[Pattern], A17)</f>
        <v>0</v>
      </c>
      <c r="I17" s="15">
        <f>D17 * E17 / 5</f>
        <v>0</v>
      </c>
      <c r="J17" s="12">
        <f>IF(C17=0, "Not Started", IF(E17&lt;=2.5, "Weak (High Risk)", IF(E17&lt;=3.5, "Medium", "Strong")))</f>
        <v>0</v>
      </c>
    </row>
    <row r="18" spans="1:10">
      <c r="A18" s="4" t="s">
        <v>53</v>
      </c>
      <c r="B18" s="11">
        <f>COUNTIF(tblMasterDatabase[Pattern], A18)</f>
        <v>0</v>
      </c>
      <c r="C18" s="11">
        <f>COUNTIFS(tblMasterDatabase[Pattern], A18, tblMasterDatabase[Status], "&lt;&gt;")</f>
        <v>0</v>
      </c>
      <c r="D18" s="15">
        <f>IF(B18=0, 0, C18/B18)</f>
        <v>0</v>
      </c>
      <c r="E18" s="11">
        <f>IF(C18=0, 0, AVERAGEIFS(tblMasterDatabase[Confidence], tblMasterDatabase[Pattern], A18, tblMasterDatabase[Status], "&lt;&gt;"))</f>
        <v>0</v>
      </c>
      <c r="F18" s="11">
        <f>IF(C18=0, 0, AVERAGEIFS(tblMasterDatabase[Time Taken], tblMasterDatabase[Pattern], A18, tblMasterDatabase[Status], "&lt;&gt;"))</f>
        <v>0</v>
      </c>
      <c r="G18" s="15">
        <f>IF(C18=0, 0, COUNTIFS(tblMasterDatabase[Pattern], A18, tblMasterDatabase[Hint Used], "Yes") / C18)</f>
        <v>0</v>
      </c>
      <c r="H18" s="11">
        <f>SUMIFS(tblMasterDatabase[Revision Count], tblMasterDatabase[Pattern], A18)</f>
        <v>0</v>
      </c>
      <c r="I18" s="15">
        <f>D18 * E18 / 5</f>
        <v>0</v>
      </c>
      <c r="J18" s="12">
        <f>IF(C18=0, "Not Started", IF(E18&lt;=2.5, "Weak (High Risk)", IF(E18&lt;=3.5, "Medium", "Strong")))</f>
        <v>0</v>
      </c>
    </row>
    <row r="19" spans="1:10">
      <c r="A19" s="4" t="s">
        <v>54</v>
      </c>
      <c r="B19" s="11">
        <f>COUNTIF(tblMasterDatabase[Pattern], A19)</f>
        <v>0</v>
      </c>
      <c r="C19" s="11">
        <f>COUNTIFS(tblMasterDatabase[Pattern], A19, tblMasterDatabase[Status], "&lt;&gt;")</f>
        <v>0</v>
      </c>
      <c r="D19" s="15">
        <f>IF(B19=0, 0, C19/B19)</f>
        <v>0</v>
      </c>
      <c r="E19" s="11">
        <f>IF(C19=0, 0, AVERAGEIFS(tblMasterDatabase[Confidence], tblMasterDatabase[Pattern], A19, tblMasterDatabase[Status], "&lt;&gt;"))</f>
        <v>0</v>
      </c>
      <c r="F19" s="11">
        <f>IF(C19=0, 0, AVERAGEIFS(tblMasterDatabase[Time Taken], tblMasterDatabase[Pattern], A19, tblMasterDatabase[Status], "&lt;&gt;"))</f>
        <v>0</v>
      </c>
      <c r="G19" s="15">
        <f>IF(C19=0, 0, COUNTIFS(tblMasterDatabase[Pattern], A19, tblMasterDatabase[Hint Used], "Yes") / C19)</f>
        <v>0</v>
      </c>
      <c r="H19" s="11">
        <f>SUMIFS(tblMasterDatabase[Revision Count], tblMasterDatabase[Pattern], A19)</f>
        <v>0</v>
      </c>
      <c r="I19" s="15">
        <f>D19 * E19 / 5</f>
        <v>0</v>
      </c>
      <c r="J19" s="12">
        <f>IF(C19=0, "Not Started", IF(E19&lt;=2.5, "Weak (High Risk)", IF(E19&lt;=3.5, "Medium", "Strong")))</f>
        <v>0</v>
      </c>
    </row>
    <row r="20" spans="1:10">
      <c r="A20" s="4" t="s">
        <v>55</v>
      </c>
      <c r="B20" s="11">
        <f>COUNTIF(tblMasterDatabase[Pattern], A20)</f>
        <v>0</v>
      </c>
      <c r="C20" s="11">
        <f>COUNTIFS(tblMasterDatabase[Pattern], A20, tblMasterDatabase[Status], "&lt;&gt;")</f>
        <v>0</v>
      </c>
      <c r="D20" s="15">
        <f>IF(B20=0, 0, C20/B20)</f>
        <v>0</v>
      </c>
      <c r="E20" s="11">
        <f>IF(C20=0, 0, AVERAGEIFS(tblMasterDatabase[Confidence], tblMasterDatabase[Pattern], A20, tblMasterDatabase[Status], "&lt;&gt;"))</f>
        <v>0</v>
      </c>
      <c r="F20" s="11">
        <f>IF(C20=0, 0, AVERAGEIFS(tblMasterDatabase[Time Taken], tblMasterDatabase[Pattern], A20, tblMasterDatabase[Status], "&lt;&gt;"))</f>
        <v>0</v>
      </c>
      <c r="G20" s="15">
        <f>IF(C20=0, 0, COUNTIFS(tblMasterDatabase[Pattern], A20, tblMasterDatabase[Hint Used], "Yes") / C20)</f>
        <v>0</v>
      </c>
      <c r="H20" s="11">
        <f>SUMIFS(tblMasterDatabase[Revision Count], tblMasterDatabase[Pattern], A20)</f>
        <v>0</v>
      </c>
      <c r="I20" s="15">
        <f>D20 * E20 / 5</f>
        <v>0</v>
      </c>
      <c r="J20" s="12">
        <f>IF(C20=0, "Not Started", IF(E20&lt;=2.5, "Weak (High Risk)", IF(E20&lt;=3.5, "Medium", "Strong")))</f>
        <v>0</v>
      </c>
    </row>
    <row r="21" spans="1:10">
      <c r="A21" s="4" t="s">
        <v>56</v>
      </c>
      <c r="B21" s="11">
        <f>COUNTIF(tblMasterDatabase[Pattern], A21)</f>
        <v>0</v>
      </c>
      <c r="C21" s="11">
        <f>COUNTIFS(tblMasterDatabase[Pattern], A21, tblMasterDatabase[Status], "&lt;&gt;")</f>
        <v>0</v>
      </c>
      <c r="D21" s="15">
        <f>IF(B21=0, 0, C21/B21)</f>
        <v>0</v>
      </c>
      <c r="E21" s="11">
        <f>IF(C21=0, 0, AVERAGEIFS(tblMasterDatabase[Confidence], tblMasterDatabase[Pattern], A21, tblMasterDatabase[Status], "&lt;&gt;"))</f>
        <v>0</v>
      </c>
      <c r="F21" s="11">
        <f>IF(C21=0, 0, AVERAGEIFS(tblMasterDatabase[Time Taken], tblMasterDatabase[Pattern], A21, tblMasterDatabase[Status], "&lt;&gt;"))</f>
        <v>0</v>
      </c>
      <c r="G21" s="15">
        <f>IF(C21=0, 0, COUNTIFS(tblMasterDatabase[Pattern], A21, tblMasterDatabase[Hint Used], "Yes") / C21)</f>
        <v>0</v>
      </c>
      <c r="H21" s="11">
        <f>SUMIFS(tblMasterDatabase[Revision Count], tblMasterDatabase[Pattern], A21)</f>
        <v>0</v>
      </c>
      <c r="I21" s="15">
        <f>D21 * E21 / 5</f>
        <v>0</v>
      </c>
      <c r="J21" s="12">
        <f>IF(C21=0, "Not Started", IF(E21&lt;=2.5, "Weak (High Risk)", IF(E21&lt;=3.5, "Medium", "Strong")))</f>
        <v>0</v>
      </c>
    </row>
    <row r="22" spans="1:10">
      <c r="A22" s="4" t="s">
        <v>57</v>
      </c>
      <c r="B22" s="11">
        <f>COUNTIF(tblMasterDatabase[Pattern], A22)</f>
        <v>0</v>
      </c>
      <c r="C22" s="11">
        <f>COUNTIFS(tblMasterDatabase[Pattern], A22, tblMasterDatabase[Status], "&lt;&gt;")</f>
        <v>0</v>
      </c>
      <c r="D22" s="15">
        <f>IF(B22=0, 0, C22/B22)</f>
        <v>0</v>
      </c>
      <c r="E22" s="11">
        <f>IF(C22=0, 0, AVERAGEIFS(tblMasterDatabase[Confidence], tblMasterDatabase[Pattern], A22, tblMasterDatabase[Status], "&lt;&gt;"))</f>
        <v>0</v>
      </c>
      <c r="F22" s="11">
        <f>IF(C22=0, 0, AVERAGEIFS(tblMasterDatabase[Time Taken], tblMasterDatabase[Pattern], A22, tblMasterDatabase[Status], "&lt;&gt;"))</f>
        <v>0</v>
      </c>
      <c r="G22" s="15">
        <f>IF(C22=0, 0, COUNTIFS(tblMasterDatabase[Pattern], A22, tblMasterDatabase[Hint Used], "Yes") / C22)</f>
        <v>0</v>
      </c>
      <c r="H22" s="11">
        <f>SUMIFS(tblMasterDatabase[Revision Count], tblMasterDatabase[Pattern], A22)</f>
        <v>0</v>
      </c>
      <c r="I22" s="15">
        <f>D22 * E22 / 5</f>
        <v>0</v>
      </c>
      <c r="J22" s="12">
        <f>IF(C22=0, "Not Started", IF(E22&lt;=2.5, "Weak (High Risk)", IF(E22&lt;=3.5, "Medium", "Strong")))</f>
        <v>0</v>
      </c>
    </row>
    <row r="23" spans="1:10">
      <c r="A23" s="4" t="s">
        <v>58</v>
      </c>
      <c r="B23" s="11">
        <f>COUNTIF(tblMasterDatabase[Pattern], A23)</f>
        <v>0</v>
      </c>
      <c r="C23" s="11">
        <f>COUNTIFS(tblMasterDatabase[Pattern], A23, tblMasterDatabase[Status], "&lt;&gt;")</f>
        <v>0</v>
      </c>
      <c r="D23" s="15">
        <f>IF(B23=0, 0, C23/B23)</f>
        <v>0</v>
      </c>
      <c r="E23" s="11">
        <f>IF(C23=0, 0, AVERAGEIFS(tblMasterDatabase[Confidence], tblMasterDatabase[Pattern], A23, tblMasterDatabase[Status], "&lt;&gt;"))</f>
        <v>0</v>
      </c>
      <c r="F23" s="11">
        <f>IF(C23=0, 0, AVERAGEIFS(tblMasterDatabase[Time Taken], tblMasterDatabase[Pattern], A23, tblMasterDatabase[Status], "&lt;&gt;"))</f>
        <v>0</v>
      </c>
      <c r="G23" s="15">
        <f>IF(C23=0, 0, COUNTIFS(tblMasterDatabase[Pattern], A23, tblMasterDatabase[Hint Used], "Yes") / C23)</f>
        <v>0</v>
      </c>
      <c r="H23" s="11">
        <f>SUMIFS(tblMasterDatabase[Revision Count], tblMasterDatabase[Pattern], A23)</f>
        <v>0</v>
      </c>
      <c r="I23" s="15">
        <f>D23 * E23 / 5</f>
        <v>0</v>
      </c>
      <c r="J23" s="12">
        <f>IF(C23=0, "Not Started", IF(E23&lt;=2.5, "Weak (High Risk)", IF(E23&lt;=3.5, "Medium", "Strong")))</f>
        <v>0</v>
      </c>
    </row>
    <row r="24" spans="1:10">
      <c r="A24" s="4" t="s">
        <v>59</v>
      </c>
      <c r="B24" s="11">
        <f>COUNTIF(tblMasterDatabase[Pattern], A24)</f>
        <v>0</v>
      </c>
      <c r="C24" s="11">
        <f>COUNTIFS(tblMasterDatabase[Pattern], A24, tblMasterDatabase[Status], "&lt;&gt;")</f>
        <v>0</v>
      </c>
      <c r="D24" s="15">
        <f>IF(B24=0, 0, C24/B24)</f>
        <v>0</v>
      </c>
      <c r="E24" s="11">
        <f>IF(C24=0, 0, AVERAGEIFS(tblMasterDatabase[Confidence], tblMasterDatabase[Pattern], A24, tblMasterDatabase[Status], "&lt;&gt;"))</f>
        <v>0</v>
      </c>
      <c r="F24" s="11">
        <f>IF(C24=0, 0, AVERAGEIFS(tblMasterDatabase[Time Taken], tblMasterDatabase[Pattern], A24, tblMasterDatabase[Status], "&lt;&gt;"))</f>
        <v>0</v>
      </c>
      <c r="G24" s="15">
        <f>IF(C24=0, 0, COUNTIFS(tblMasterDatabase[Pattern], A24, tblMasterDatabase[Hint Used], "Yes") / C24)</f>
        <v>0</v>
      </c>
      <c r="H24" s="11">
        <f>SUMIFS(tblMasterDatabase[Revision Count], tblMasterDatabase[Pattern], A24)</f>
        <v>0</v>
      </c>
      <c r="I24" s="15">
        <f>D24 * E24 / 5</f>
        <v>0</v>
      </c>
      <c r="J24" s="12">
        <f>IF(C24=0, "Not Started", IF(E24&lt;=2.5, "Weak (High Risk)", IF(E24&lt;=3.5, "Medium", "Strong")))</f>
        <v>0</v>
      </c>
    </row>
    <row r="25" spans="1:10">
      <c r="A25" s="4" t="s">
        <v>60</v>
      </c>
      <c r="B25" s="11">
        <f>COUNTIF(tblMasterDatabase[Pattern], A25)</f>
        <v>0</v>
      </c>
      <c r="C25" s="11">
        <f>COUNTIFS(tblMasterDatabase[Pattern], A25, tblMasterDatabase[Status], "&lt;&gt;")</f>
        <v>0</v>
      </c>
      <c r="D25" s="15">
        <f>IF(B25=0, 0, C25/B25)</f>
        <v>0</v>
      </c>
      <c r="E25" s="11">
        <f>IF(C25=0, 0, AVERAGEIFS(tblMasterDatabase[Confidence], tblMasterDatabase[Pattern], A25, tblMasterDatabase[Status], "&lt;&gt;"))</f>
        <v>0</v>
      </c>
      <c r="F25" s="11">
        <f>IF(C25=0, 0, AVERAGEIFS(tblMasterDatabase[Time Taken], tblMasterDatabase[Pattern], A25, tblMasterDatabase[Status], "&lt;&gt;"))</f>
        <v>0</v>
      </c>
      <c r="G25" s="15">
        <f>IF(C25=0, 0, COUNTIFS(tblMasterDatabase[Pattern], A25, tblMasterDatabase[Hint Used], "Yes") / C25)</f>
        <v>0</v>
      </c>
      <c r="H25" s="11">
        <f>SUMIFS(tblMasterDatabase[Revision Count], tblMasterDatabase[Pattern], A25)</f>
        <v>0</v>
      </c>
      <c r="I25" s="15">
        <f>D25 * E25 / 5</f>
        <v>0</v>
      </c>
      <c r="J25" s="12">
        <f>IF(C25=0, "Not Started", IF(E25&lt;=2.5, "Weak (High Risk)", IF(E25&lt;=3.5, "Medium", "Strong")))</f>
        <v>0</v>
      </c>
    </row>
    <row r="26" spans="1:10">
      <c r="A26" s="4" t="s">
        <v>61</v>
      </c>
      <c r="B26" s="11">
        <f>COUNTIF(tblMasterDatabase[Pattern], A26)</f>
        <v>0</v>
      </c>
      <c r="C26" s="11">
        <f>COUNTIFS(tblMasterDatabase[Pattern], A26, tblMasterDatabase[Status], "&lt;&gt;")</f>
        <v>0</v>
      </c>
      <c r="D26" s="15">
        <f>IF(B26=0, 0, C26/B26)</f>
        <v>0</v>
      </c>
      <c r="E26" s="11">
        <f>IF(C26=0, 0, AVERAGEIFS(tblMasterDatabase[Confidence], tblMasterDatabase[Pattern], A26, tblMasterDatabase[Status], "&lt;&gt;"))</f>
        <v>0</v>
      </c>
      <c r="F26" s="11">
        <f>IF(C26=0, 0, AVERAGEIFS(tblMasterDatabase[Time Taken], tblMasterDatabase[Pattern], A26, tblMasterDatabase[Status], "&lt;&gt;"))</f>
        <v>0</v>
      </c>
      <c r="G26" s="15">
        <f>IF(C26=0, 0, COUNTIFS(tblMasterDatabase[Pattern], A26, tblMasterDatabase[Hint Used], "Yes") / C26)</f>
        <v>0</v>
      </c>
      <c r="H26" s="11">
        <f>SUMIFS(tblMasterDatabase[Revision Count], tblMasterDatabase[Pattern], A26)</f>
        <v>0</v>
      </c>
      <c r="I26" s="15">
        <f>D26 * E26 / 5</f>
        <v>0</v>
      </c>
      <c r="J26" s="12">
        <f>IF(C26=0, "Not Started", IF(E26&lt;=2.5, "Weak (High Risk)", IF(E26&lt;=3.5, "Medium", "Strong")))</f>
        <v>0</v>
      </c>
    </row>
    <row r="27" spans="1:10">
      <c r="A27" s="4" t="s">
        <v>62</v>
      </c>
      <c r="B27" s="11">
        <f>COUNTIF(tblMasterDatabase[Pattern], A27)</f>
        <v>0</v>
      </c>
      <c r="C27" s="11">
        <f>COUNTIFS(tblMasterDatabase[Pattern], A27, tblMasterDatabase[Status], "&lt;&gt;")</f>
        <v>0</v>
      </c>
      <c r="D27" s="15">
        <f>IF(B27=0, 0, C27/B27)</f>
        <v>0</v>
      </c>
      <c r="E27" s="11">
        <f>IF(C27=0, 0, AVERAGEIFS(tblMasterDatabase[Confidence], tblMasterDatabase[Pattern], A27, tblMasterDatabase[Status], "&lt;&gt;"))</f>
        <v>0</v>
      </c>
      <c r="F27" s="11">
        <f>IF(C27=0, 0, AVERAGEIFS(tblMasterDatabase[Time Taken], tblMasterDatabase[Pattern], A27, tblMasterDatabase[Status], "&lt;&gt;"))</f>
        <v>0</v>
      </c>
      <c r="G27" s="15">
        <f>IF(C27=0, 0, COUNTIFS(tblMasterDatabase[Pattern], A27, tblMasterDatabase[Hint Used], "Yes") / C27)</f>
        <v>0</v>
      </c>
      <c r="H27" s="11">
        <f>SUMIFS(tblMasterDatabase[Revision Count], tblMasterDatabase[Pattern], A27)</f>
        <v>0</v>
      </c>
      <c r="I27" s="15">
        <f>D27 * E27 / 5</f>
        <v>0</v>
      </c>
      <c r="J27" s="12">
        <f>IF(C27=0, "Not Started", IF(E27&lt;=2.5, "Weak (High Risk)", IF(E27&lt;=3.5, "Medium", "Strong")))</f>
        <v>0</v>
      </c>
    </row>
    <row r="28" spans="1:10">
      <c r="A28" s="4" t="s">
        <v>63</v>
      </c>
      <c r="B28" s="11">
        <f>COUNTIF(tblMasterDatabase[Pattern], A28)</f>
        <v>0</v>
      </c>
      <c r="C28" s="11">
        <f>COUNTIFS(tblMasterDatabase[Pattern], A28, tblMasterDatabase[Status], "&lt;&gt;")</f>
        <v>0</v>
      </c>
      <c r="D28" s="15">
        <f>IF(B28=0, 0, C28/B28)</f>
        <v>0</v>
      </c>
      <c r="E28" s="11">
        <f>IF(C28=0, 0, AVERAGEIFS(tblMasterDatabase[Confidence], tblMasterDatabase[Pattern], A28, tblMasterDatabase[Status], "&lt;&gt;"))</f>
        <v>0</v>
      </c>
      <c r="F28" s="11">
        <f>IF(C28=0, 0, AVERAGEIFS(tblMasterDatabase[Time Taken], tblMasterDatabase[Pattern], A28, tblMasterDatabase[Status], "&lt;&gt;"))</f>
        <v>0</v>
      </c>
      <c r="G28" s="15">
        <f>IF(C28=0, 0, COUNTIFS(tblMasterDatabase[Pattern], A28, tblMasterDatabase[Hint Used], "Yes") / C28)</f>
        <v>0</v>
      </c>
      <c r="H28" s="11">
        <f>SUMIFS(tblMasterDatabase[Revision Count], tblMasterDatabase[Pattern], A28)</f>
        <v>0</v>
      </c>
      <c r="I28" s="15">
        <f>D28 * E28 / 5</f>
        <v>0</v>
      </c>
      <c r="J28" s="12">
        <f>IF(C28=0, "Not Started", IF(E28&lt;=2.5, "Weak (High Risk)", IF(E28&lt;=3.5, "Medium", "Strong")))</f>
        <v>0</v>
      </c>
    </row>
    <row r="29" spans="1:10">
      <c r="A29" s="4" t="s">
        <v>64</v>
      </c>
      <c r="B29" s="11">
        <f>COUNTIF(tblMasterDatabase[Pattern], A29)</f>
        <v>0</v>
      </c>
      <c r="C29" s="11">
        <f>COUNTIFS(tblMasterDatabase[Pattern], A29, tblMasterDatabase[Status], "&lt;&gt;")</f>
        <v>0</v>
      </c>
      <c r="D29" s="15">
        <f>IF(B29=0, 0, C29/B29)</f>
        <v>0</v>
      </c>
      <c r="E29" s="11">
        <f>IF(C29=0, 0, AVERAGEIFS(tblMasterDatabase[Confidence], tblMasterDatabase[Pattern], A29, tblMasterDatabase[Status], "&lt;&gt;"))</f>
        <v>0</v>
      </c>
      <c r="F29" s="11">
        <f>IF(C29=0, 0, AVERAGEIFS(tblMasterDatabase[Time Taken], tblMasterDatabase[Pattern], A29, tblMasterDatabase[Status], "&lt;&gt;"))</f>
        <v>0</v>
      </c>
      <c r="G29" s="15">
        <f>IF(C29=0, 0, COUNTIFS(tblMasterDatabase[Pattern], A29, tblMasterDatabase[Hint Used], "Yes") / C29)</f>
        <v>0</v>
      </c>
      <c r="H29" s="11">
        <f>SUMIFS(tblMasterDatabase[Revision Count], tblMasterDatabase[Pattern], A29)</f>
        <v>0</v>
      </c>
      <c r="I29" s="15">
        <f>D29 * E29 / 5</f>
        <v>0</v>
      </c>
      <c r="J29" s="12">
        <f>IF(C29=0, "Not Started", IF(E29&lt;=2.5, "Weak (High Risk)", IF(E29&lt;=3.5, "Medium", "Strong")))</f>
        <v>0</v>
      </c>
    </row>
  </sheetData>
  <conditionalFormatting sqref="D4:D29">
    <cfRule type="dataBar" priority="2">
      <dataBar>
        <cfvo type="min" val="0"/>
        <cfvo type="max" val="0"/>
        <color rgb="FFD9E1F2"/>
      </dataBar>
    </cfRule>
  </conditionalFormatting>
  <conditionalFormatting sqref="I4:I29">
    <cfRule type="dataBar" priority="3">
      <dataBar>
        <cfvo type="min" val="0"/>
        <cfvo type="max" val="0"/>
        <color rgb="FFC8D8F4"/>
      </dataBar>
    </cfRule>
  </conditionalFormatting>
  <conditionalFormatting sqref="J4:J29">
    <cfRule type="cellIs" dxfId="5" priority="1" operator="equal">
      <formula>"Weak (High Risk)"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>
  <dimension ref="B2:S15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8.7109375" customWidth="1"/>
    <col min="4" max="4" width="20.7109375" customWidth="1"/>
    <col min="5" max="5" width="12.7109375" customWidth="1"/>
    <col min="6" max="6" width="3.7109375" customWidth="1"/>
    <col min="7" max="16" width="16.7109375" customWidth="1"/>
    <col min="17" max="18" width="20.7109375" customWidth="1"/>
    <col min="19" max="19" width="30.7109375" customWidth="1"/>
  </cols>
  <sheetData>
    <row r="2" spans="2:19">
      <c r="B2" s="1" t="s">
        <v>731</v>
      </c>
    </row>
    <row r="3" spans="2:19">
      <c r="G3" t="s">
        <v>738</v>
      </c>
      <c r="H3" t="s">
        <v>739</v>
      </c>
      <c r="I3" t="s">
        <v>88</v>
      </c>
      <c r="J3" t="s">
        <v>699</v>
      </c>
      <c r="K3" t="s">
        <v>740</v>
      </c>
      <c r="L3" t="s">
        <v>727</v>
      </c>
      <c r="M3" t="s">
        <v>741</v>
      </c>
      <c r="N3" t="s">
        <v>742</v>
      </c>
      <c r="O3" t="s">
        <v>743</v>
      </c>
      <c r="P3" t="s">
        <v>5</v>
      </c>
      <c r="Q3" t="s">
        <v>744</v>
      </c>
      <c r="R3" t="s">
        <v>702</v>
      </c>
      <c r="S3" t="s">
        <v>745</v>
      </c>
    </row>
    <row r="4" spans="2:19">
      <c r="B4" s="13" t="s">
        <v>732</v>
      </c>
      <c r="C4" s="14" t="s">
        <v>73</v>
      </c>
      <c r="G4" s="4" t="s">
        <v>66</v>
      </c>
      <c r="H4" s="11">
        <f>COUNTIF(tblMasterDatabase[Company Tags], "*"&amp;G4&amp;"*")</f>
        <v>0</v>
      </c>
      <c r="I4" s="11">
        <f>COUNTIFS(tblMasterDatabase[Company Tags], "*"&amp;G4&amp;"*", tblMasterDatabase[Status], "&lt;&gt;")</f>
        <v>0</v>
      </c>
      <c r="J4" s="15">
        <f>IF(H4=0, 0, I4/H4)</f>
        <v>0</v>
      </c>
      <c r="K4" s="15">
        <f>IF(I4=0, 0, COUNTIFS(tblMasterDatabase[Company Tags], "*"&amp;G4&amp;"*", tblMasterDatabase[Status], "&lt;&gt;", tblMasterDatabase[Next Revision], "&gt;="&amp;TODAY()) / I4)</f>
        <v>0</v>
      </c>
      <c r="L4" s="11">
        <f>IF(I4=0, 0, AVERAGEIFS(tblMasterDatabase[Confidence], tblMasterDatabase[Company Tags], "*"&amp;G4&amp;"*", tblMasterDatabase[Status], "&lt;&gt;"))</f>
        <v>0</v>
      </c>
      <c r="M4" s="15">
        <f>IF(COUNTIFS(tblMasterDatabase[Company Tags], "*"&amp;G4&amp;"*", tblMasterDatabase[ROI], "&gt;=8")=0, 1, COUNTIFS(tblMasterDatabase[Company Tags], "*"&amp;G4&amp;"*", tblMasterDatabase[ROI], "&gt;=8", tblMasterDatabase[Status], "&lt;&gt;") / COUNTIFS(tblMasterDatabase[Company Tags], "*"&amp;G4&amp;"*", tblMasterDatabase[ROI], "&gt;=8"))</f>
        <v>0</v>
      </c>
      <c r="N4" s="15">
        <f>IF(COUNTIF(tblMockOA[Company], G4)=0, 70%, AVERAGEIF(tblMockOA[Company], G4, tblMockOA[Score]))</f>
        <v>0</v>
      </c>
      <c r="O4" s="15">
        <f>35% * K4 + 25% * J4 + 20% * M4 + 10% * (L4/5) + 10% * N4</f>
        <v>0</v>
      </c>
      <c r="P4" s="12">
        <f>IF(O4&lt;0.6, "Needs Work", IF(O4&lt;0.75, "Improving", IF(O4&lt;0.9, "Placement Ready", "Strong Candidate")))</f>
        <v>0</v>
      </c>
      <c r="Q4" s="12">
        <f>IF(INDEX(tblPatternTracker[Completion %], MATCH("Arrays", tblPatternTracker[Pattern Name], 0)) &gt;= INDEX(tblPatternTracker[Completion %], MATCH("HashMap", tblPatternTracker[Pattern Name], 0)), "Arrays", "HashMap")</f>
        <v>0</v>
      </c>
      <c r="R4" s="12">
        <f>IF(INDEX(tblPatternTracker[Completion %], MATCH("Arrays", tblPatternTracker[Pattern Name], 0)) &lt; INDEX(tblPatternTracker[Completion %], MATCH("HashMap", tblPatternTracker[Pattern Name], 0)), "Arrays", "HashMap")</f>
        <v>0</v>
      </c>
      <c r="S4" s="4" cm="1">
        <f t="array" ref="S4">IFERROR(TEXTJOIN(", ", TRUE, _xlfn.TAKE(_xlfn._xlws.FILTER(tblMasterDatabase[Problem Name], (ISNUMBER(SEARCH(G4, tblMasterDatabase[Company Tags]))) * (tblMasterDatabase[Next Revision]&lt;=TODAY())), 2)), "All Caught Up!")</f>
        <v>0</v>
      </c>
    </row>
    <row r="5" spans="2:19">
      <c r="G5" s="4" t="s">
        <v>67</v>
      </c>
      <c r="H5" s="11">
        <f>COUNTIF(tblMasterDatabase[Company Tags], "*"&amp;G5&amp;"*")</f>
        <v>0</v>
      </c>
      <c r="I5" s="11">
        <f>COUNTIFS(tblMasterDatabase[Company Tags], "*"&amp;G5&amp;"*", tblMasterDatabase[Status], "&lt;&gt;")</f>
        <v>0</v>
      </c>
      <c r="J5" s="15">
        <f>IF(H5=0, 0, I5/H5)</f>
        <v>0</v>
      </c>
      <c r="K5" s="15">
        <f>IF(I5=0, 0, COUNTIFS(tblMasterDatabase[Company Tags], "*"&amp;G5&amp;"*", tblMasterDatabase[Status], "&lt;&gt;", tblMasterDatabase[Next Revision], "&gt;="&amp;TODAY()) / I5)</f>
        <v>0</v>
      </c>
      <c r="L5" s="11">
        <f>IF(I5=0, 0, AVERAGEIFS(tblMasterDatabase[Confidence], tblMasterDatabase[Company Tags], "*"&amp;G5&amp;"*", tblMasterDatabase[Status], "&lt;&gt;"))</f>
        <v>0</v>
      </c>
      <c r="M5" s="15">
        <f>IF(COUNTIFS(tblMasterDatabase[Company Tags], "*"&amp;G5&amp;"*", tblMasterDatabase[ROI], "&gt;=8")=0, 1, COUNTIFS(tblMasterDatabase[Company Tags], "*"&amp;G5&amp;"*", tblMasterDatabase[ROI], "&gt;=8", tblMasterDatabase[Status], "&lt;&gt;") / COUNTIFS(tblMasterDatabase[Company Tags], "*"&amp;G5&amp;"*", tblMasterDatabase[ROI], "&gt;=8"))</f>
        <v>0</v>
      </c>
      <c r="N5" s="15">
        <f>IF(COUNTIF(tblMockOA[Company], G5)=0, 70%, AVERAGEIF(tblMockOA[Company], G5, tblMockOA[Score]))</f>
        <v>0</v>
      </c>
      <c r="O5" s="15">
        <f>35% * K5 + 25% * J5 + 20% * M5 + 10% * (L5/5) + 10% * N5</f>
        <v>0</v>
      </c>
      <c r="P5" s="12">
        <f>IF(O5&lt;0.6, "Needs Work", IF(O5&lt;0.75, "Improving", IF(O5&lt;0.9, "Placement Ready", "Strong Candidate")))</f>
        <v>0</v>
      </c>
      <c r="Q5" s="12">
        <f>IF(INDEX(tblPatternTracker[Completion %], MATCH("HashMap", tblPatternTracker[Pattern Name], 0)) &gt;= INDEX(tblPatternTracker[Completion %], MATCH("Two Pointer", tblPatternTracker[Pattern Name], 0)), "HashMap", "Two Pointer")</f>
        <v>0</v>
      </c>
      <c r="R5" s="12">
        <f>IF(INDEX(tblPatternTracker[Completion %], MATCH("HashMap", tblPatternTracker[Pattern Name], 0)) &lt; INDEX(tblPatternTracker[Completion %], MATCH("Two Pointer", tblPatternTracker[Pattern Name], 0)), "HashMap", "Two Pointer")</f>
        <v>0</v>
      </c>
      <c r="S5" s="4" cm="1">
        <f t="array" ref="S5">IFERROR(TEXTJOIN(", ", TRUE, _xlfn.TAKE(_xlfn._xlws.FILTER(tblMasterDatabase[Problem Name], (ISNUMBER(SEARCH(G5, tblMasterDatabase[Company Tags]))) * (tblMasterDatabase[Next Revision]&lt;=TODAY())), 2)), "All Caught Up!")</f>
        <v>0</v>
      </c>
    </row>
    <row r="6" spans="2:19">
      <c r="B6" s="16" t="s">
        <v>733</v>
      </c>
      <c r="C6" s="17">
        <f>IFERROR(INDEX(tblCompanyReadiness[Readiness Score], MATCH(C4, tblCompanyReadiness[Company Name], 0)), 0)</f>
        <v>0</v>
      </c>
      <c r="G6" s="4" t="s">
        <v>68</v>
      </c>
      <c r="H6" s="11">
        <f>COUNTIF(tblMasterDatabase[Company Tags], "*"&amp;G6&amp;"*")</f>
        <v>0</v>
      </c>
      <c r="I6" s="11">
        <f>COUNTIFS(tblMasterDatabase[Company Tags], "*"&amp;G6&amp;"*", tblMasterDatabase[Status], "&lt;&gt;")</f>
        <v>0</v>
      </c>
      <c r="J6" s="15">
        <f>IF(H6=0, 0, I6/H6)</f>
        <v>0</v>
      </c>
      <c r="K6" s="15">
        <f>IF(I6=0, 0, COUNTIFS(tblMasterDatabase[Company Tags], "*"&amp;G6&amp;"*", tblMasterDatabase[Status], "&lt;&gt;", tblMasterDatabase[Next Revision], "&gt;="&amp;TODAY()) / I6)</f>
        <v>0</v>
      </c>
      <c r="L6" s="11">
        <f>IF(I6=0, 0, AVERAGEIFS(tblMasterDatabase[Confidence], tblMasterDatabase[Company Tags], "*"&amp;G6&amp;"*", tblMasterDatabase[Status], "&lt;&gt;"))</f>
        <v>0</v>
      </c>
      <c r="M6" s="15">
        <f>IF(COUNTIFS(tblMasterDatabase[Company Tags], "*"&amp;G6&amp;"*", tblMasterDatabase[ROI], "&gt;=8")=0, 1, COUNTIFS(tblMasterDatabase[Company Tags], "*"&amp;G6&amp;"*", tblMasterDatabase[ROI], "&gt;=8", tblMasterDatabase[Status], "&lt;&gt;") / COUNTIFS(tblMasterDatabase[Company Tags], "*"&amp;G6&amp;"*", tblMasterDatabase[ROI], "&gt;=8"))</f>
        <v>0</v>
      </c>
      <c r="N6" s="15">
        <f>IF(COUNTIF(tblMockOA[Company], G6)=0, 70%, AVERAGEIF(tblMockOA[Company], G6, tblMockOA[Score]))</f>
        <v>0</v>
      </c>
      <c r="O6" s="15">
        <f>35% * K6 + 25% * J6 + 20% * M6 + 10% * (L6/5) + 10% * N6</f>
        <v>0</v>
      </c>
      <c r="P6" s="12">
        <f>IF(O6&lt;0.6, "Needs Work", IF(O6&lt;0.75, "Improving", IF(O6&lt;0.9, "Placement Ready", "Strong Candidate")))</f>
        <v>0</v>
      </c>
      <c r="Q6" s="12">
        <f>IF(INDEX(tblPatternTracker[Completion %], MATCH("Linked List", tblPatternTracker[Pattern Name], 0)) &gt;= INDEX(tblPatternTracker[Completion %], MATCH("Two Pointer", tblPatternTracker[Pattern Name], 0)), "Linked List", "Two Pointer")</f>
        <v>0</v>
      </c>
      <c r="R6" s="12">
        <f>IF(INDEX(tblPatternTracker[Completion %], MATCH("Linked List", tblPatternTracker[Pattern Name], 0)) &lt; INDEX(tblPatternTracker[Completion %], MATCH("Two Pointer", tblPatternTracker[Pattern Name], 0)), "Linked List", "Two Pointer")</f>
        <v>0</v>
      </c>
      <c r="S6" s="4" cm="1">
        <f t="array" ref="S6">IFERROR(TEXTJOIN(", ", TRUE, _xlfn.TAKE(_xlfn._xlws.FILTER(tblMasterDatabase[Problem Name], (ISNUMBER(SEARCH(G6, tblMasterDatabase[Company Tags]))) * (tblMasterDatabase[Next Revision]&lt;=TODAY())), 2)), "All Caught Up!")</f>
        <v>0</v>
      </c>
    </row>
    <row r="7" spans="2:19">
      <c r="G7" s="4" t="s">
        <v>69</v>
      </c>
      <c r="H7" s="11">
        <f>COUNTIF(tblMasterDatabase[Company Tags], "*"&amp;G7&amp;"*")</f>
        <v>0</v>
      </c>
      <c r="I7" s="11">
        <f>COUNTIFS(tblMasterDatabase[Company Tags], "*"&amp;G7&amp;"*", tblMasterDatabase[Status], "&lt;&gt;")</f>
        <v>0</v>
      </c>
      <c r="J7" s="15">
        <f>IF(H7=0, 0, I7/H7)</f>
        <v>0</v>
      </c>
      <c r="K7" s="15">
        <f>IF(I7=0, 0, COUNTIFS(tblMasterDatabase[Company Tags], "*"&amp;G7&amp;"*", tblMasterDatabase[Status], "&lt;&gt;", tblMasterDatabase[Next Revision], "&gt;="&amp;TODAY()) / I7)</f>
        <v>0</v>
      </c>
      <c r="L7" s="11">
        <f>IF(I7=0, 0, AVERAGEIFS(tblMasterDatabase[Confidence], tblMasterDatabase[Company Tags], "*"&amp;G7&amp;"*", tblMasterDatabase[Status], "&lt;&gt;"))</f>
        <v>0</v>
      </c>
      <c r="M7" s="15">
        <f>IF(COUNTIFS(tblMasterDatabase[Company Tags], "*"&amp;G7&amp;"*", tblMasterDatabase[ROI], "&gt;=8")=0, 1, COUNTIFS(tblMasterDatabase[Company Tags], "*"&amp;G7&amp;"*", tblMasterDatabase[ROI], "&gt;=8", tblMasterDatabase[Status], "&lt;&gt;") / COUNTIFS(tblMasterDatabase[Company Tags], "*"&amp;G7&amp;"*", tblMasterDatabase[ROI], "&gt;=8"))</f>
        <v>0</v>
      </c>
      <c r="N7" s="15">
        <f>IF(COUNTIF(tblMockOA[Company], G7)=0, 70%, AVERAGEIF(tblMockOA[Company], G7, tblMockOA[Score]))</f>
        <v>0</v>
      </c>
      <c r="O7" s="15">
        <f>35% * K7 + 25% * J7 + 20% * M7 + 10% * (L7/5) + 10% * N7</f>
        <v>0</v>
      </c>
      <c r="P7" s="12">
        <f>IF(O7&lt;0.6, "Needs Work", IF(O7&lt;0.75, "Improving", IF(O7&lt;0.9, "Placement Ready", "Strong Candidate")))</f>
        <v>0</v>
      </c>
      <c r="Q7" s="12">
        <f>IF(INDEX(tblPatternTracker[Completion %], MATCH("Sliding Window", tblPatternTracker[Pattern Name], 0)) &gt;= INDEX(tblPatternTracker[Completion %], MATCH("Monotonic Stack", tblPatternTracker[Pattern Name], 0)), "Sliding Window", "Monotonic Stack")</f>
        <v>0</v>
      </c>
      <c r="R7" s="12">
        <f>IF(INDEX(tblPatternTracker[Completion %], MATCH("Sliding Window", tblPatternTracker[Pattern Name], 0)) &lt; INDEX(tblPatternTracker[Completion %], MATCH("Monotonic Stack", tblPatternTracker[Pattern Name], 0)), "Sliding Window", "Monotonic Stack")</f>
        <v>0</v>
      </c>
      <c r="S7" s="4" cm="1">
        <f t="array" ref="S7">IFERROR(TEXTJOIN(", ", TRUE, _xlfn.TAKE(_xlfn._xlws.FILTER(tblMasterDatabase[Problem Name], (ISNUMBER(SEARCH(G7, tblMasterDatabase[Company Tags]))) * (tblMasterDatabase[Next Revision]&lt;=TODAY())), 2)), "All Caught Up!")</f>
        <v>0</v>
      </c>
    </row>
    <row r="8" spans="2:19">
      <c r="B8" s="16" t="s">
        <v>734</v>
      </c>
      <c r="C8" s="17">
        <f>IFERROR(C6 + (1-C6)*0.4, 0)</f>
        <v>0</v>
      </c>
      <c r="G8" s="4" t="s">
        <v>70</v>
      </c>
      <c r="H8" s="11">
        <f>COUNTIF(tblMasterDatabase[Company Tags], "*"&amp;G8&amp;"*")</f>
        <v>0</v>
      </c>
      <c r="I8" s="11">
        <f>COUNTIFS(tblMasterDatabase[Company Tags], "*"&amp;G8&amp;"*", tblMasterDatabase[Status], "&lt;&gt;")</f>
        <v>0</v>
      </c>
      <c r="J8" s="15">
        <f>IF(H8=0, 0, I8/H8)</f>
        <v>0</v>
      </c>
      <c r="K8" s="15">
        <f>IF(I8=0, 0, COUNTIFS(tblMasterDatabase[Company Tags], "*"&amp;G8&amp;"*", tblMasterDatabase[Status], "&lt;&gt;", tblMasterDatabase[Next Revision], "&gt;="&amp;TODAY()) / I8)</f>
        <v>0</v>
      </c>
      <c r="L8" s="11">
        <f>IF(I8=0, 0, AVERAGEIFS(tblMasterDatabase[Confidence], tblMasterDatabase[Company Tags], "*"&amp;G8&amp;"*", tblMasterDatabase[Status], "&lt;&gt;"))</f>
        <v>0</v>
      </c>
      <c r="M8" s="15">
        <f>IF(COUNTIFS(tblMasterDatabase[Company Tags], "*"&amp;G8&amp;"*", tblMasterDatabase[ROI], "&gt;=8")=0, 1, COUNTIFS(tblMasterDatabase[Company Tags], "*"&amp;G8&amp;"*", tblMasterDatabase[ROI], "&gt;=8", tblMasterDatabase[Status], "&lt;&gt;") / COUNTIFS(tblMasterDatabase[Company Tags], "*"&amp;G8&amp;"*", tblMasterDatabase[ROI], "&gt;=8"))</f>
        <v>0</v>
      </c>
      <c r="N8" s="15">
        <f>IF(COUNTIF(tblMockOA[Company], G8)=0, 70%, AVERAGEIF(tblMockOA[Company], G8, tblMockOA[Score]))</f>
        <v>0</v>
      </c>
      <c r="O8" s="15">
        <f>35% * K8 + 25% * J8 + 20% * M8 + 10% * (L8/5) + 10% * N8</f>
        <v>0</v>
      </c>
      <c r="P8" s="12">
        <f>IF(O8&lt;0.6, "Needs Work", IF(O8&lt;0.75, "Improving", IF(O8&lt;0.9, "Placement Ready", "Strong Candidate")))</f>
        <v>0</v>
      </c>
      <c r="Q8" s="12">
        <f>IF(INDEX(tblPatternTracker[Completion %], MATCH("Binary Search", tblPatternTracker[Pattern Name], 0)) &gt;= INDEX(tblPatternTracker[Completion %], MATCH("Greedy", tblPatternTracker[Pattern Name], 0)), "Binary Search", "Greedy")</f>
        <v>0</v>
      </c>
      <c r="R8" s="12">
        <f>IF(INDEX(tblPatternTracker[Completion %], MATCH("Binary Search", tblPatternTracker[Pattern Name], 0)) &lt; INDEX(tblPatternTracker[Completion %], MATCH("Greedy", tblPatternTracker[Pattern Name], 0)), "Binary Search", "Greedy")</f>
        <v>0</v>
      </c>
      <c r="S8" s="4" cm="1">
        <f t="array" ref="S8">IFERROR(TEXTJOIN(", ", TRUE, _xlfn.TAKE(_xlfn._xlws.FILTER(tblMasterDatabase[Problem Name], (ISNUMBER(SEARCH(G8, tblMasterDatabase[Company Tags]))) * (tblMasterDatabase[Next Revision]&lt;=TODAY())), 2)), "All Caught Up!")</f>
        <v>0</v>
      </c>
    </row>
    <row r="9" spans="2:19">
      <c r="G9" s="4" t="s">
        <v>71</v>
      </c>
      <c r="H9" s="11">
        <f>COUNTIF(tblMasterDatabase[Company Tags], "*"&amp;G9&amp;"*")</f>
        <v>0</v>
      </c>
      <c r="I9" s="11">
        <f>COUNTIFS(tblMasterDatabase[Company Tags], "*"&amp;G9&amp;"*", tblMasterDatabase[Status], "&lt;&gt;")</f>
        <v>0</v>
      </c>
      <c r="J9" s="15">
        <f>IF(H9=0, 0, I9/H9)</f>
        <v>0</v>
      </c>
      <c r="K9" s="15">
        <f>IF(I9=0, 0, COUNTIFS(tblMasterDatabase[Company Tags], "*"&amp;G9&amp;"*", tblMasterDatabase[Status], "&lt;&gt;", tblMasterDatabase[Next Revision], "&gt;="&amp;TODAY()) / I9)</f>
        <v>0</v>
      </c>
      <c r="L9" s="11">
        <f>IF(I9=0, 0, AVERAGEIFS(tblMasterDatabase[Confidence], tblMasterDatabase[Company Tags], "*"&amp;G9&amp;"*", tblMasterDatabase[Status], "&lt;&gt;"))</f>
        <v>0</v>
      </c>
      <c r="M9" s="15">
        <f>IF(COUNTIFS(tblMasterDatabase[Company Tags], "*"&amp;G9&amp;"*", tblMasterDatabase[ROI], "&gt;=8")=0, 1, COUNTIFS(tblMasterDatabase[Company Tags], "*"&amp;G9&amp;"*", tblMasterDatabase[ROI], "&gt;=8", tblMasterDatabase[Status], "&lt;&gt;") / COUNTIFS(tblMasterDatabase[Company Tags], "*"&amp;G9&amp;"*", tblMasterDatabase[ROI], "&gt;=8"))</f>
        <v>0</v>
      </c>
      <c r="N9" s="15">
        <f>IF(COUNTIF(tblMockOA[Company], G9)=0, 70%, AVERAGEIF(tblMockOA[Company], G9, tblMockOA[Score]))</f>
        <v>0</v>
      </c>
      <c r="O9" s="15">
        <f>35% * K9 + 25% * J9 + 20% * M9 + 10% * (L9/5) + 10% * N9</f>
        <v>0</v>
      </c>
      <c r="P9" s="12">
        <f>IF(O9&lt;0.6, "Needs Work", IF(O9&lt;0.75, "Improving", IF(O9&lt;0.9, "Placement Ready", "Strong Candidate")))</f>
        <v>0</v>
      </c>
      <c r="Q9" s="12">
        <f>IF(INDEX(tblPatternTracker[Completion %], MATCH("Prefix Sum", tblPatternTracker[Pattern Name], 0)) &gt;= INDEX(tblPatternTracker[Completion %], MATCH("HashMap", tblPatternTracker[Pattern Name], 0)), "Prefix Sum", "HashMap")</f>
        <v>0</v>
      </c>
      <c r="R9" s="12">
        <f>IF(INDEX(tblPatternTracker[Completion %], MATCH("Prefix Sum", tblPatternTracker[Pattern Name], 0)) &lt; INDEX(tblPatternTracker[Completion %], MATCH("HashMap", tblPatternTracker[Pattern Name], 0)), "Prefix Sum", "HashMap")</f>
        <v>0</v>
      </c>
      <c r="S9" s="4" cm="1">
        <f t="array" ref="S9">IFERROR(TEXTJOIN(", ", TRUE, _xlfn.TAKE(_xlfn._xlws.FILTER(tblMasterDatabase[Problem Name], (ISNUMBER(SEARCH(G9, tblMasterDatabase[Company Tags]))) * (tblMasterDatabase[Next Revision]&lt;=TODAY())), 2)), "All Caught Up!")</f>
        <v>0</v>
      </c>
    </row>
    <row r="10" spans="2:19">
      <c r="B10" s="13" t="s">
        <v>735</v>
      </c>
      <c r="C10" s="12">
        <f>IFERROR(INDEX(tblCompanyReadiness[Strength], MATCH(C4, tblCompanyReadiness[Company Name], 0)), "N/A")</f>
        <v>0</v>
      </c>
      <c r="G10" s="4" t="s">
        <v>72</v>
      </c>
      <c r="H10" s="11">
        <f>COUNTIF(tblMasterDatabase[Company Tags], "*"&amp;G10&amp;"*")</f>
        <v>0</v>
      </c>
      <c r="I10" s="11">
        <f>COUNTIFS(tblMasterDatabase[Company Tags], "*"&amp;G10&amp;"*", tblMasterDatabase[Status], "&lt;&gt;")</f>
        <v>0</v>
      </c>
      <c r="J10" s="15">
        <f>IF(H10=0, 0, I10/H10)</f>
        <v>0</v>
      </c>
      <c r="K10" s="15">
        <f>IF(I10=0, 0, COUNTIFS(tblMasterDatabase[Company Tags], "*"&amp;G10&amp;"*", tblMasterDatabase[Status], "&lt;&gt;", tblMasterDatabase[Next Revision], "&gt;="&amp;TODAY()) / I10)</f>
        <v>0</v>
      </c>
      <c r="L10" s="11">
        <f>IF(I10=0, 0, AVERAGEIFS(tblMasterDatabase[Confidence], tblMasterDatabase[Company Tags], "*"&amp;G10&amp;"*", tblMasterDatabase[Status], "&lt;&gt;"))</f>
        <v>0</v>
      </c>
      <c r="M10" s="15">
        <f>IF(COUNTIFS(tblMasterDatabase[Company Tags], "*"&amp;G10&amp;"*", tblMasterDatabase[ROI], "&gt;=8")=0, 1, COUNTIFS(tblMasterDatabase[Company Tags], "*"&amp;G10&amp;"*", tblMasterDatabase[ROI], "&gt;=8", tblMasterDatabase[Status], "&lt;&gt;") / COUNTIFS(tblMasterDatabase[Company Tags], "*"&amp;G10&amp;"*", tblMasterDatabase[ROI], "&gt;=8"))</f>
        <v>0</v>
      </c>
      <c r="N10" s="15">
        <f>IF(COUNTIF(tblMockOA[Company], G10)=0, 70%, AVERAGEIF(tblMockOA[Company], G10, tblMockOA[Score]))</f>
        <v>0</v>
      </c>
      <c r="O10" s="15">
        <f>35% * K10 + 25% * J10 + 20% * M10 + 10% * (L10/5) + 10% * N10</f>
        <v>0</v>
      </c>
      <c r="P10" s="12">
        <f>IF(O10&lt;0.6, "Needs Work", IF(O10&lt;0.75, "Improving", IF(O10&lt;0.9, "Placement Ready", "Strong Candidate")))</f>
        <v>0</v>
      </c>
      <c r="Q10" s="12">
        <f>IF(INDEX(tblPatternTracker[Completion %], MATCH("BST", tblPatternTracker[Pattern Name], 0)) &gt;= INDEX(tblPatternTracker[Completion %], MATCH("Heap", tblPatternTracker[Pattern Name], 0)), "BST", "Heap")</f>
        <v>0</v>
      </c>
      <c r="R10" s="12">
        <f>IF(INDEX(tblPatternTracker[Completion %], MATCH("BST", tblPatternTracker[Pattern Name], 0)) &lt; INDEX(tblPatternTracker[Completion %], MATCH("Heap", tblPatternTracker[Pattern Name], 0)), "BST", "Heap")</f>
        <v>0</v>
      </c>
      <c r="S10" s="4" cm="1">
        <f t="array" ref="S10">IFERROR(TEXTJOIN(", ", TRUE, _xlfn.TAKE(_xlfn._xlws.FILTER(tblMasterDatabase[Problem Name], (ISNUMBER(SEARCH(G10, tblMasterDatabase[Company Tags]))) * (tblMasterDatabase[Next Revision]&lt;=TODAY())), 2)), "All Caught Up!")</f>
        <v>0</v>
      </c>
    </row>
    <row r="11" spans="2:19">
      <c r="B11" s="13" t="s">
        <v>736</v>
      </c>
      <c r="C11" s="12">
        <f>IFERROR(INDEX(tblCompanyReadiness[Weakness], MATCH(C4, tblCompanyReadiness[Company Name], 0)), "N/A")</f>
        <v>0</v>
      </c>
      <c r="G11" s="4" t="s">
        <v>73</v>
      </c>
      <c r="H11" s="11">
        <f>COUNTIF(tblMasterDatabase[Company Tags], "*"&amp;G11&amp;"*")</f>
        <v>0</v>
      </c>
      <c r="I11" s="11">
        <f>COUNTIFS(tblMasterDatabase[Company Tags], "*"&amp;G11&amp;"*", tblMasterDatabase[Status], "&lt;&gt;")</f>
        <v>0</v>
      </c>
      <c r="J11" s="15">
        <f>IF(H11=0, 0, I11/H11)</f>
        <v>0</v>
      </c>
      <c r="K11" s="15">
        <f>IF(I11=0, 0, COUNTIFS(tblMasterDatabase[Company Tags], "*"&amp;G11&amp;"*", tblMasterDatabase[Status], "&lt;&gt;", tblMasterDatabase[Next Revision], "&gt;="&amp;TODAY()) / I11)</f>
        <v>0</v>
      </c>
      <c r="L11" s="11">
        <f>IF(I11=0, 0, AVERAGEIFS(tblMasterDatabase[Confidence], tblMasterDatabase[Company Tags], "*"&amp;G11&amp;"*", tblMasterDatabase[Status], "&lt;&gt;"))</f>
        <v>0</v>
      </c>
      <c r="M11" s="15">
        <f>IF(COUNTIFS(tblMasterDatabase[Company Tags], "*"&amp;G11&amp;"*", tblMasterDatabase[ROI], "&gt;=8")=0, 1, COUNTIFS(tblMasterDatabase[Company Tags], "*"&amp;G11&amp;"*", tblMasterDatabase[ROI], "&gt;=8", tblMasterDatabase[Status], "&lt;&gt;") / COUNTIFS(tblMasterDatabase[Company Tags], "*"&amp;G11&amp;"*", tblMasterDatabase[ROI], "&gt;=8"))</f>
        <v>0</v>
      </c>
      <c r="N11" s="15">
        <f>IF(COUNTIF(tblMockOA[Company], G11)=0, 70%, AVERAGEIF(tblMockOA[Company], G11, tblMockOA[Score]))</f>
        <v>0</v>
      </c>
      <c r="O11" s="15">
        <f>35% * K11 + 25% * J11 + 20% * M11 + 10% * (L11/5) + 10% * N11</f>
        <v>0</v>
      </c>
      <c r="P11" s="12">
        <f>IF(O11&lt;0.6, "Needs Work", IF(O11&lt;0.75, "Improving", IF(O11&lt;0.9, "Placement Ready", "Strong Candidate")))</f>
        <v>0</v>
      </c>
      <c r="Q11" s="12">
        <f>IF(INDEX(tblPatternTracker[Completion %], MATCH("Trees", tblPatternTracker[Pattern Name], 0)) &gt;= INDEX(tblPatternTracker[Completion %], MATCH("Dynamic Programming", tblPatternTracker[Pattern Name], 0)), "Trees", "Dynamic Programming")</f>
        <v>0</v>
      </c>
      <c r="R11" s="12">
        <f>IF(INDEX(tblPatternTracker[Completion %], MATCH("Trees", tblPatternTracker[Pattern Name], 0)) &lt; INDEX(tblPatternTracker[Completion %], MATCH("Dynamic Programming", tblPatternTracker[Pattern Name], 0)), "Trees", "Dynamic Programming")</f>
        <v>0</v>
      </c>
      <c r="S11" s="4" cm="1">
        <f t="array" ref="S11">IFERROR(TEXTJOIN(", ", TRUE, _xlfn.TAKE(_xlfn._xlws.FILTER(tblMasterDatabase[Problem Name], (ISNUMBER(SEARCH(G11, tblMasterDatabase[Company Tags]))) * (tblMasterDatabase[Next Revision]&lt;=TODAY())), 2)), "All Caught Up!")</f>
        <v>0</v>
      </c>
    </row>
    <row r="12" spans="2:19">
      <c r="G12" s="4" t="s">
        <v>74</v>
      </c>
      <c r="H12" s="11">
        <f>COUNTIF(tblMasterDatabase[Company Tags], "*"&amp;G12&amp;"*")</f>
        <v>0</v>
      </c>
      <c r="I12" s="11">
        <f>COUNTIFS(tblMasterDatabase[Company Tags], "*"&amp;G12&amp;"*", tblMasterDatabase[Status], "&lt;&gt;")</f>
        <v>0</v>
      </c>
      <c r="J12" s="15">
        <f>IF(H12=0, 0, I12/H12)</f>
        <v>0</v>
      </c>
      <c r="K12" s="15">
        <f>IF(I12=0, 0, COUNTIFS(tblMasterDatabase[Company Tags], "*"&amp;G12&amp;"*", tblMasterDatabase[Status], "&lt;&gt;", tblMasterDatabase[Next Revision], "&gt;="&amp;TODAY()) / I12)</f>
        <v>0</v>
      </c>
      <c r="L12" s="11">
        <f>IF(I12=0, 0, AVERAGEIFS(tblMasterDatabase[Confidence], tblMasterDatabase[Company Tags], "*"&amp;G12&amp;"*", tblMasterDatabase[Status], "&lt;&gt;"))</f>
        <v>0</v>
      </c>
      <c r="M12" s="15">
        <f>IF(COUNTIFS(tblMasterDatabase[Company Tags], "*"&amp;G12&amp;"*", tblMasterDatabase[ROI], "&gt;=8")=0, 1, COUNTIFS(tblMasterDatabase[Company Tags], "*"&amp;G12&amp;"*", tblMasterDatabase[ROI], "&gt;=8", tblMasterDatabase[Status], "&lt;&gt;") / COUNTIFS(tblMasterDatabase[Company Tags], "*"&amp;G12&amp;"*", tblMasterDatabase[ROI], "&gt;=8"))</f>
        <v>0</v>
      </c>
      <c r="N12" s="15">
        <f>IF(COUNTIF(tblMockOA[Company], G12)=0, 70%, AVERAGEIF(tblMockOA[Company], G12, tblMockOA[Score]))</f>
        <v>0</v>
      </c>
      <c r="O12" s="15">
        <f>35% * K12 + 25% * J12 + 20% * M12 + 10% * (L12/5) + 10% * N12</f>
        <v>0</v>
      </c>
      <c r="P12" s="12">
        <f>IF(O12&lt;0.6, "Needs Work", IF(O12&lt;0.75, "Improving", IF(O12&lt;0.9, "Placement Ready", "Strong Candidate")))</f>
        <v>0</v>
      </c>
      <c r="Q12" s="12">
        <f>IF(INDEX(tblPatternTracker[Completion %], MATCH("Arrays", tblPatternTracker[Pattern Name], 0)) &gt;= INDEX(tblPatternTracker[Completion %], MATCH("DFS", tblPatternTracker[Pattern Name], 0)), "Arrays", "DFS")</f>
        <v>0</v>
      </c>
      <c r="R12" s="12">
        <f>IF(INDEX(tblPatternTracker[Completion %], MATCH("Arrays", tblPatternTracker[Pattern Name], 0)) &lt; INDEX(tblPatternTracker[Completion %], MATCH("DFS", tblPatternTracker[Pattern Name], 0)), "Arrays", "DFS")</f>
        <v>0</v>
      </c>
      <c r="S12" s="4" cm="1">
        <f t="array" ref="S12">IFERROR(TEXTJOIN(", ", TRUE, _xlfn.TAKE(_xlfn._xlws.FILTER(tblMasterDatabase[Problem Name], (ISNUMBER(SEARCH(G12, tblMasterDatabase[Company Tags]))) * (tblMasterDatabase[Next Revision]&lt;=TODAY())), 2)), "All Caught Up!")</f>
        <v>0</v>
      </c>
    </row>
    <row r="13" spans="2:19">
      <c r="B13" s="3" t="s">
        <v>737</v>
      </c>
      <c r="G13" s="4" t="s">
        <v>75</v>
      </c>
      <c r="H13" s="11">
        <f>COUNTIF(tblMasterDatabase[Company Tags], "*"&amp;G13&amp;"*")</f>
        <v>0</v>
      </c>
      <c r="I13" s="11">
        <f>COUNTIFS(tblMasterDatabase[Company Tags], "*"&amp;G13&amp;"*", tblMasterDatabase[Status], "&lt;&gt;")</f>
        <v>0</v>
      </c>
      <c r="J13" s="15">
        <f>IF(H13=0, 0, I13/H13)</f>
        <v>0</v>
      </c>
      <c r="K13" s="15">
        <f>IF(I13=0, 0, COUNTIFS(tblMasterDatabase[Company Tags], "*"&amp;G13&amp;"*", tblMasterDatabase[Status], "&lt;&gt;", tblMasterDatabase[Next Revision], "&gt;="&amp;TODAY()) / I13)</f>
        <v>0</v>
      </c>
      <c r="L13" s="11">
        <f>IF(I13=0, 0, AVERAGEIFS(tblMasterDatabase[Confidence], tblMasterDatabase[Company Tags], "*"&amp;G13&amp;"*", tblMasterDatabase[Status], "&lt;&gt;"))</f>
        <v>0</v>
      </c>
      <c r="M13" s="15">
        <f>IF(COUNTIFS(tblMasterDatabase[Company Tags], "*"&amp;G13&amp;"*", tblMasterDatabase[ROI], "&gt;=8")=0, 1, COUNTIFS(tblMasterDatabase[Company Tags], "*"&amp;G13&amp;"*", tblMasterDatabase[ROI], "&gt;=8", tblMasterDatabase[Status], "&lt;&gt;") / COUNTIFS(tblMasterDatabase[Company Tags], "*"&amp;G13&amp;"*", tblMasterDatabase[ROI], "&gt;=8"))</f>
        <v>0</v>
      </c>
      <c r="N13" s="15">
        <f>IF(COUNTIF(tblMockOA[Company], G13)=0, 70%, AVERAGEIF(tblMockOA[Company], G13, tblMockOA[Score]))</f>
        <v>0</v>
      </c>
      <c r="O13" s="15">
        <f>35% * K13 + 25% * J13 + 20% * M13 + 10% * (L13/5) + 10% * N13</f>
        <v>0</v>
      </c>
      <c r="P13" s="12">
        <f>IF(O13&lt;0.6, "Needs Work", IF(O13&lt;0.75, "Improving", IF(O13&lt;0.9, "Placement Ready", "Strong Candidate")))</f>
        <v>0</v>
      </c>
      <c r="Q13" s="12">
        <f>IF(INDEX(tblPatternTracker[Completion %], MATCH("Graphs", tblPatternTracker[Pattern Name], 0)) &gt;= INDEX(tblPatternTracker[Completion %], MATCH("Queue", tblPatternTracker[Pattern Name], 0)), "Graphs", "Queue")</f>
        <v>0</v>
      </c>
      <c r="R13" s="12">
        <f>IF(INDEX(tblPatternTracker[Completion %], MATCH("Graphs", tblPatternTracker[Pattern Name], 0)) &lt; INDEX(tblPatternTracker[Completion %], MATCH("Queue", tblPatternTracker[Pattern Name], 0)), "Graphs", "Queue")</f>
        <v>0</v>
      </c>
      <c r="S13" s="4" cm="1">
        <f t="array" ref="S13">IFERROR(TEXTJOIN(", ", TRUE, _xlfn.TAKE(_xlfn._xlws.FILTER(tblMasterDatabase[Problem Name], (ISNUMBER(SEARCH(G13, tblMasterDatabase[Company Tags]))) * (tblMasterDatabase[Next Revision]&lt;=TODAY())), 2)), "All Caught Up!")</f>
        <v>0</v>
      </c>
    </row>
    <row r="14" spans="2:19">
      <c r="B14" s="5" t="s">
        <v>696</v>
      </c>
      <c r="C14" s="5" t="s">
        <v>674</v>
      </c>
      <c r="D14" s="5" t="s">
        <v>676</v>
      </c>
      <c r="E14" s="5" t="s">
        <v>677</v>
      </c>
      <c r="F14" s="5" t="s">
        <v>106</v>
      </c>
    </row>
    <row r="15" spans="2:19">
      <c r="B15" s="4" cm="1">
        <f t="array" ref="B15">IFERROR(_xlfn.TAKE(_xlfn.SORTBY(_xlfn._xlws.FILTER(_xlfn.CHOOSECOLS(tblMasterDatabase, 1, 2, 4, 5, 7), (tblMasterDatabase[Status]="") * (ISNUMBER(SEARCH(C4, tblMasterDatabase[Company Tags])))), _xlfn._xlws.FILTER(tblMasterDatabase[ROI], (tblMasterDatabase[Status]="") * (ISNUMBER(SEARCH(C4, tblMasterDatabase[Company Tags])))), -1), 4), "All caught up for this company!")</f>
        <v>0</v>
      </c>
    </row>
  </sheetData>
  <dataValidations count="1">
    <dataValidation type="list" allowBlank="1" showInputMessage="1" showErrorMessage="1" sqref="C4">
      <formula1>Settings!$E$2:$E$11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>
  <dimension ref="A1:K11"/>
  <sheetViews>
    <sheetView showGridLines="0" workbookViewId="0"/>
  </sheetViews>
  <sheetFormatPr defaultRowHeight="15"/>
  <cols>
    <col min="1" max="1" width="10.7109375" customWidth="1"/>
    <col min="2" max="11" width="18.7109375" customWidth="1"/>
  </cols>
  <sheetData>
    <row r="1" spans="1:11">
      <c r="A1" s="1" t="s">
        <v>746</v>
      </c>
    </row>
    <row r="3" spans="1:11">
      <c r="B3" s="16" t="s">
        <v>747</v>
      </c>
      <c r="D3" s="16" t="s">
        <v>748</v>
      </c>
      <c r="F3" s="16" t="s">
        <v>749</v>
      </c>
      <c r="H3" s="16" t="s">
        <v>750</v>
      </c>
      <c r="J3" s="16" t="s">
        <v>751</v>
      </c>
    </row>
    <row r="4" spans="1:11">
      <c r="B4" s="17">
        <f>IFERROR(AVERAGE(tblMockOA[Score]), 0)</f>
        <v>0</v>
      </c>
      <c r="D4" s="17">
        <f>IFERROR(MAX(tblMockOA[Score]), 0)</f>
        <v>0</v>
      </c>
      <c r="F4" s="17">
        <f>IFERROR(MIN(tblMockOA[Score]), 0)</f>
        <v>0</v>
      </c>
      <c r="H4" s="18">
        <f>IFERROR(AVERAGE(tblMockOA[Time (Mins)]), 0)</f>
        <v>0</v>
      </c>
      <c r="J4" s="17">
        <f>IFERROR(AVERAGE(tblMockOA[Accuracy]), 0)</f>
        <v>0</v>
      </c>
    </row>
    <row r="6" spans="1:11">
      <c r="A6" t="s">
        <v>752</v>
      </c>
      <c r="B6" t="s">
        <v>753</v>
      </c>
      <c r="C6" t="s">
        <v>87</v>
      </c>
      <c r="D6" t="s">
        <v>754</v>
      </c>
      <c r="E6" t="s">
        <v>755</v>
      </c>
      <c r="F6" t="s">
        <v>756</v>
      </c>
      <c r="G6" t="s">
        <v>757</v>
      </c>
      <c r="H6" t="s">
        <v>758</v>
      </c>
      <c r="I6" t="s">
        <v>759</v>
      </c>
      <c r="J6" t="s">
        <v>760</v>
      </c>
      <c r="K6" t="s">
        <v>761</v>
      </c>
    </row>
    <row r="7" spans="1:11">
      <c r="A7" s="11">
        <v>1</v>
      </c>
      <c r="I7" s="15">
        <f>AVERAGE(E$7:E7)</f>
        <v>0</v>
      </c>
    </row>
    <row r="8" spans="1:11">
      <c r="A8" s="11">
        <v>2</v>
      </c>
      <c r="I8" s="15">
        <f>AVERAGE(E$7:E8)</f>
        <v>0</v>
      </c>
    </row>
    <row r="9" spans="1:11">
      <c r="A9" s="11">
        <v>3</v>
      </c>
      <c r="I9" s="15">
        <f>AVERAGE(E$7:E9)</f>
        <v>0</v>
      </c>
    </row>
    <row r="10" spans="1:11">
      <c r="A10" s="11">
        <v>4</v>
      </c>
      <c r="I10" s="15">
        <f>AVERAGE(E$7:E10)</f>
        <v>0</v>
      </c>
    </row>
    <row r="11" spans="1:11">
      <c r="A11" s="11">
        <v>5</v>
      </c>
      <c r="I11" s="15">
        <f>AVERAGE(E$7:E11)</f>
        <v>0</v>
      </c>
    </row>
  </sheetData>
  <dataValidations count="2">
    <dataValidation type="list" allowBlank="1" showInputMessage="1" showErrorMessage="1" sqref="B7:B11">
      <formula1>Settings!$E$2:$E$11</formula1>
    </dataValidation>
    <dataValidation type="list" allowBlank="1" showInputMessage="1" showErrorMessage="1" sqref="H7:H11">
      <formula1>Settings!$D$2:$D$28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>
  <dimension ref="A1:I13"/>
  <sheetViews>
    <sheetView showGridLines="0" workbookViewId="0"/>
  </sheetViews>
  <sheetFormatPr defaultRowHeight="15"/>
  <cols>
    <col min="1" max="1" width="12.7109375" customWidth="1"/>
    <col min="2" max="2" width="30.7109375" customWidth="1"/>
    <col min="3" max="3" width="20.7109375" customWidth="1"/>
    <col min="4" max="5" width="35.7109375" customWidth="1"/>
    <col min="6" max="6" width="12.7109375" customWidth="1"/>
    <col min="7" max="7" width="14.7109375" customWidth="1"/>
    <col min="8" max="9" width="18.7109375" customWidth="1"/>
  </cols>
  <sheetData>
    <row r="1" spans="1:9">
      <c r="A1" s="1" t="s">
        <v>762</v>
      </c>
    </row>
    <row r="3" spans="1:9">
      <c r="A3" t="s">
        <v>763</v>
      </c>
      <c r="B3" t="s">
        <v>674</v>
      </c>
      <c r="C3" t="s">
        <v>764</v>
      </c>
      <c r="D3" t="s">
        <v>765</v>
      </c>
      <c r="E3" t="s">
        <v>766</v>
      </c>
      <c r="F3" t="s">
        <v>767</v>
      </c>
      <c r="G3" t="s">
        <v>768</v>
      </c>
      <c r="H3" t="s">
        <v>676</v>
      </c>
      <c r="I3" t="s">
        <v>677</v>
      </c>
    </row>
    <row r="4" spans="1:9">
      <c r="A4" s="11">
        <v>1</v>
      </c>
      <c r="H4" s="12">
        <f>IFERROR(INDEX(tblMasterDatabase[Pattern], MATCH(B4, tblMasterDatabase[Problem Name], 0)), "")</f>
        <v>0</v>
      </c>
      <c r="I4" s="12">
        <f>IFERROR(INDEX(tblMasterDatabase[Difficulty], MATCH(B4, tblMasterDatabase[Problem Name], 0)), "")</f>
        <v>0</v>
      </c>
    </row>
    <row r="5" spans="1:9">
      <c r="A5" s="11">
        <v>2</v>
      </c>
      <c r="H5" s="12">
        <f>IFERROR(INDEX(tblMasterDatabase[Pattern], MATCH(B5, tblMasterDatabase[Problem Name], 0)), "")</f>
        <v>0</v>
      </c>
      <c r="I5" s="12">
        <f>IFERROR(INDEX(tblMasterDatabase[Difficulty], MATCH(B5, tblMasterDatabase[Problem Name], 0)), "")</f>
        <v>0</v>
      </c>
    </row>
    <row r="6" spans="1:9">
      <c r="A6" s="11">
        <v>3</v>
      </c>
      <c r="H6" s="12">
        <f>IFERROR(INDEX(tblMasterDatabase[Pattern], MATCH(B6, tblMasterDatabase[Problem Name], 0)), "")</f>
        <v>0</v>
      </c>
      <c r="I6" s="12">
        <f>IFERROR(INDEX(tblMasterDatabase[Difficulty], MATCH(B6, tblMasterDatabase[Problem Name], 0)), "")</f>
        <v>0</v>
      </c>
    </row>
    <row r="7" spans="1:9">
      <c r="A7" s="11">
        <v>4</v>
      </c>
      <c r="H7" s="12">
        <f>IFERROR(INDEX(tblMasterDatabase[Pattern], MATCH(B7, tblMasterDatabase[Problem Name], 0)), "")</f>
        <v>0</v>
      </c>
      <c r="I7" s="12">
        <f>IFERROR(INDEX(tblMasterDatabase[Difficulty], MATCH(B7, tblMasterDatabase[Problem Name], 0)), "")</f>
        <v>0</v>
      </c>
    </row>
    <row r="8" spans="1:9">
      <c r="A8" s="11">
        <v>5</v>
      </c>
      <c r="H8" s="12">
        <f>IFERROR(INDEX(tblMasterDatabase[Pattern], MATCH(B8, tblMasterDatabase[Problem Name], 0)), "")</f>
        <v>0</v>
      </c>
      <c r="I8" s="12">
        <f>IFERROR(INDEX(tblMasterDatabase[Difficulty], MATCH(B8, tblMasterDatabase[Problem Name], 0)), "")</f>
        <v>0</v>
      </c>
    </row>
    <row r="9" spans="1:9">
      <c r="A9" s="11">
        <v>6</v>
      </c>
      <c r="H9" s="12">
        <f>IFERROR(INDEX(tblMasterDatabase[Pattern], MATCH(B9, tblMasterDatabase[Problem Name], 0)), "")</f>
        <v>0</v>
      </c>
      <c r="I9" s="12">
        <f>IFERROR(INDEX(tblMasterDatabase[Difficulty], MATCH(B9, tblMasterDatabase[Problem Name], 0)), "")</f>
        <v>0</v>
      </c>
    </row>
    <row r="10" spans="1:9">
      <c r="A10" s="11">
        <v>7</v>
      </c>
      <c r="H10" s="12">
        <f>IFERROR(INDEX(tblMasterDatabase[Pattern], MATCH(B10, tblMasterDatabase[Problem Name], 0)), "")</f>
        <v>0</v>
      </c>
      <c r="I10" s="12">
        <f>IFERROR(INDEX(tblMasterDatabase[Difficulty], MATCH(B10, tblMasterDatabase[Problem Name], 0)), "")</f>
        <v>0</v>
      </c>
    </row>
    <row r="11" spans="1:9">
      <c r="A11" s="11">
        <v>8</v>
      </c>
      <c r="H11" s="12">
        <f>IFERROR(INDEX(tblMasterDatabase[Pattern], MATCH(B11, tblMasterDatabase[Problem Name], 0)), "")</f>
        <v>0</v>
      </c>
      <c r="I11" s="12">
        <f>IFERROR(INDEX(tblMasterDatabase[Difficulty], MATCH(B11, tblMasterDatabase[Problem Name], 0)), "")</f>
        <v>0</v>
      </c>
    </row>
    <row r="12" spans="1:9">
      <c r="A12" s="11">
        <v>9</v>
      </c>
      <c r="H12" s="12">
        <f>IFERROR(INDEX(tblMasterDatabase[Pattern], MATCH(B12, tblMasterDatabase[Problem Name], 0)), "")</f>
        <v>0</v>
      </c>
      <c r="I12" s="12">
        <f>IFERROR(INDEX(tblMasterDatabase[Difficulty], MATCH(B12, tblMasterDatabase[Problem Name], 0)), "")</f>
        <v>0</v>
      </c>
    </row>
    <row r="13" spans="1:9">
      <c r="A13" s="11">
        <v>10</v>
      </c>
      <c r="H13" s="12">
        <f>IFERROR(INDEX(tblMasterDatabase[Pattern], MATCH(B13, tblMasterDatabase[Problem Name], 0)), "")</f>
        <v>0</v>
      </c>
      <c r="I13" s="12">
        <f>IFERROR(INDEX(tblMasterDatabase[Difficulty], MATCH(B13, tblMasterDatabase[Problem Name], 0)), "")</f>
        <v>0</v>
      </c>
    </row>
  </sheetData>
  <dataValidations count="3">
    <dataValidation type="list" allowBlank="1" showInputMessage="1" showErrorMessage="1" sqref="B4:B13">
      <formula1>'Master Problem Database'!$B$2:$B$308</formula1>
    </dataValidation>
    <dataValidation type="list" allowBlank="1" showInputMessage="1" showErrorMessage="1" sqref="C4:C13">
      <formula1>Settings!$G$2:$G$10</formula1>
    </dataValidation>
    <dataValidation type="list" allowBlank="1" showInputMessage="1" showErrorMessage="1" sqref="F4:F13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>
  <dimension ref="A1:F8"/>
  <sheetViews>
    <sheetView showGridLines="0" workbookViewId="0"/>
  </sheetViews>
  <sheetFormatPr defaultRowHeight="15"/>
  <cols>
    <col min="1" max="1" width="22.7109375" customWidth="1"/>
    <col min="2" max="2" width="30.7109375" customWidth="1"/>
    <col min="3" max="6" width="18.7109375" customWidth="1"/>
  </cols>
  <sheetData>
    <row r="1" spans="1:6">
      <c r="A1" s="1" t="s">
        <v>769</v>
      </c>
    </row>
    <row r="3" spans="1:6">
      <c r="A3" t="s">
        <v>770</v>
      </c>
      <c r="B3" t="s">
        <v>771</v>
      </c>
      <c r="C3" t="s">
        <v>772</v>
      </c>
      <c r="D3" t="s">
        <v>773</v>
      </c>
      <c r="E3" t="s">
        <v>690</v>
      </c>
      <c r="F3" t="s">
        <v>688</v>
      </c>
    </row>
    <row r="4" spans="1:6">
      <c r="A4" s="4" t="s">
        <v>28</v>
      </c>
      <c r="B4" s="9" t="s">
        <v>774</v>
      </c>
      <c r="C4" s="12" t="s">
        <v>775</v>
      </c>
      <c r="E4" s="10">
        <f>IF(D4="","", IF(F4&gt;=4, D4+30, D4+15))</f>
        <v>0</v>
      </c>
    </row>
    <row r="5" spans="1:6">
      <c r="A5" s="4" t="s">
        <v>29</v>
      </c>
      <c r="B5" s="9" t="s">
        <v>774</v>
      </c>
      <c r="C5" s="12" t="s">
        <v>775</v>
      </c>
      <c r="E5" s="10">
        <f>IF(D5="","", IF(F5&gt;=4, D5+30, D5+15))</f>
        <v>0</v>
      </c>
    </row>
    <row r="6" spans="1:6">
      <c r="A6" s="4" t="s">
        <v>30</v>
      </c>
      <c r="B6" s="9" t="s">
        <v>774</v>
      </c>
      <c r="C6" s="12" t="s">
        <v>775</v>
      </c>
      <c r="E6" s="10">
        <f>IF(D6="","", IF(F6&gt;=4, D6+30, D6+15))</f>
        <v>0</v>
      </c>
    </row>
    <row r="7" spans="1:6">
      <c r="A7" s="4" t="s">
        <v>31</v>
      </c>
      <c r="B7" s="9" t="s">
        <v>774</v>
      </c>
      <c r="C7" s="12" t="s">
        <v>775</v>
      </c>
      <c r="E7" s="10">
        <f>IF(D7="","", IF(F7&gt;=4, D7+30, D7+15))</f>
        <v>0</v>
      </c>
    </row>
    <row r="8" spans="1:6">
      <c r="A8" s="4" t="s">
        <v>32</v>
      </c>
      <c r="B8" s="9" t="s">
        <v>774</v>
      </c>
      <c r="C8" s="12" t="s">
        <v>775</v>
      </c>
      <c r="E8" s="10">
        <f>IF(D8="","", IF(F8&gt;=4, D8+30, D8+15))</f>
        <v>0</v>
      </c>
    </row>
  </sheetData>
  <dataValidations count="2">
    <dataValidation type="list" allowBlank="1" showInputMessage="1" showErrorMessage="1" sqref="C4:C8">
      <formula1>"Not Started,In Progress,Completed"</formula1>
    </dataValidation>
    <dataValidation type="list" allowBlank="1" showInputMessage="1" showErrorMessage="1" sqref="F4:F8">
      <formula1>Settings!$F$2:$F$6</formula1>
    </dataValidation>
  </dataValidations>
  <hyperlinks>
    <hyperlink ref="B4" r:id="rId1"/>
    <hyperlink ref="B5" r:id="rId2"/>
    <hyperlink ref="B6" r:id="rId3"/>
    <hyperlink ref="B7" r:id="rId4"/>
    <hyperlink ref="B8" r:id="rId5"/>
  </hyperlinks>
  <pageMargins left="0.7" right="0.7" top="0.75" bottom="0.75" header="0.3" footer="0.3"/>
  <tableParts count="1">
    <tablePart r:id="rId6"/>
  </tableParts>
</worksheet>
</file>

<file path=xl/worksheets/sheet16.xml><?xml version="1.0" encoding="utf-8"?>
<worksheet xmlns="http://schemas.openxmlformats.org/spreadsheetml/2006/main" xmlns:r="http://schemas.openxmlformats.org/officeDocument/2006/relationships">
  <dimension ref="A1:J8"/>
  <sheetViews>
    <sheetView showGridLines="0" workbookViewId="0"/>
  </sheetViews>
  <sheetFormatPr defaultRowHeight="15"/>
  <cols>
    <col min="1" max="1" width="10.7109375" customWidth="1"/>
    <col min="2" max="4" width="18.7109375" customWidth="1"/>
    <col min="5" max="10" width="35.7109375" customWidth="1"/>
  </cols>
  <sheetData>
    <row r="1" spans="1:10">
      <c r="A1" s="1" t="s">
        <v>776</v>
      </c>
    </row>
    <row r="3" spans="1:10">
      <c r="A3" t="s">
        <v>777</v>
      </c>
      <c r="B3" t="s">
        <v>753</v>
      </c>
      <c r="C3" t="s">
        <v>87</v>
      </c>
      <c r="D3" t="s">
        <v>778</v>
      </c>
      <c r="E3" t="s">
        <v>779</v>
      </c>
      <c r="F3" t="s">
        <v>677</v>
      </c>
      <c r="G3" t="s">
        <v>780</v>
      </c>
      <c r="H3" t="s">
        <v>781</v>
      </c>
      <c r="I3" t="s">
        <v>782</v>
      </c>
      <c r="J3" t="s">
        <v>783</v>
      </c>
    </row>
    <row r="4" spans="1:10">
      <c r="A4" s="11">
        <v>1</v>
      </c>
    </row>
    <row r="5" spans="1:10">
      <c r="A5" s="11">
        <v>2</v>
      </c>
    </row>
    <row r="6" spans="1:10">
      <c r="A6" s="11">
        <v>3</v>
      </c>
    </row>
    <row r="7" spans="1:10">
      <c r="A7" s="11">
        <v>4</v>
      </c>
    </row>
    <row r="8" spans="1:10">
      <c r="A8" s="11">
        <v>5</v>
      </c>
    </row>
  </sheetData>
  <dataValidations count="3">
    <dataValidation type="list" allowBlank="1" showInputMessage="1" showErrorMessage="1" sqref="B4:B8">
      <formula1>Settings!$E$2:$E$11</formula1>
    </dataValidation>
    <dataValidation type="list" allowBlank="1" showInputMessage="1" showErrorMessage="1" sqref="F4:F8">
      <formula1>Settings!$B$2:$B$4</formula1>
    </dataValidation>
    <dataValidation type="list" allowBlank="1" showInputMessage="1" showErrorMessage="1" sqref="J4:J8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>
  <dimension ref="A1:F27"/>
  <sheetViews>
    <sheetView showGridLines="0" workbookViewId="0"/>
  </sheetViews>
  <sheetFormatPr defaultRowHeight="15"/>
  <cols>
    <col min="1" max="6" width="20.7109375" customWidth="1"/>
  </cols>
  <sheetData>
    <row r="1" spans="1:6">
      <c r="A1" s="1" t="s">
        <v>784</v>
      </c>
    </row>
    <row r="3" spans="1:6">
      <c r="A3" s="3" t="s">
        <v>785</v>
      </c>
    </row>
    <row r="4" spans="1:6">
      <c r="A4" s="5" t="s">
        <v>675</v>
      </c>
      <c r="B4" s="5" t="s">
        <v>698</v>
      </c>
      <c r="C4" s="5" t="s">
        <v>88</v>
      </c>
      <c r="D4" s="5" t="s">
        <v>699</v>
      </c>
      <c r="E4" s="5" t="s">
        <v>700</v>
      </c>
      <c r="F4" s="5" t="s">
        <v>786</v>
      </c>
    </row>
    <row r="5" spans="1:6">
      <c r="A5" s="4" t="s">
        <v>39</v>
      </c>
      <c r="B5" s="11">
        <f>COUNTIF(tblMasterDatabase[Topic], A5)</f>
        <v>0</v>
      </c>
      <c r="C5" s="11">
        <f>COUNTIFS(tblMasterDatabase[Topic], A5, tblMasterDatabase[Status], "&lt;&gt;")</f>
        <v>0</v>
      </c>
      <c r="D5" s="15">
        <f>IF(B5=0, 0, C5/B5)</f>
        <v>0</v>
      </c>
      <c r="E5" s="11">
        <f>IF(C5=0, 0, AVERAGEIFS(tblMasterDatabase[Confidence], tblMasterDatabase[Topic], A5, tblMasterDatabase[Status], "&lt;&gt;"))</f>
        <v>0</v>
      </c>
      <c r="F5" s="11">
        <f>10 * (1 - D5)</f>
        <v>0</v>
      </c>
    </row>
    <row r="6" spans="1:6">
      <c r="A6" s="4" t="s">
        <v>90</v>
      </c>
      <c r="B6" s="11">
        <f>COUNTIF(tblMasterDatabase[Topic], A6)</f>
        <v>0</v>
      </c>
      <c r="C6" s="11">
        <f>COUNTIFS(tblMasterDatabase[Topic], A6, tblMasterDatabase[Status], "&lt;&gt;")</f>
        <v>0</v>
      </c>
      <c r="D6" s="15">
        <f>IF(B6=0, 0, C6/B6)</f>
        <v>0</v>
      </c>
      <c r="E6" s="11">
        <f>IF(C6=0, 0, AVERAGEIFS(tblMasterDatabase[Confidence], tblMasterDatabase[Topic], A6, tblMasterDatabase[Status], "&lt;&gt;"))</f>
        <v>0</v>
      </c>
      <c r="F6" s="11">
        <f>10 * (1 - D6)</f>
        <v>0</v>
      </c>
    </row>
    <row r="7" spans="1:6">
      <c r="A7" s="4" t="s">
        <v>91</v>
      </c>
      <c r="B7" s="11">
        <f>COUNTIF(tblMasterDatabase[Topic], A7)</f>
        <v>0</v>
      </c>
      <c r="C7" s="11">
        <f>COUNTIFS(tblMasterDatabase[Topic], A7, tblMasterDatabase[Status], "&lt;&gt;")</f>
        <v>0</v>
      </c>
      <c r="D7" s="15">
        <f>IF(B7=0, 0, C7/B7)</f>
        <v>0</v>
      </c>
      <c r="E7" s="11">
        <f>IF(C7=0, 0, AVERAGEIFS(tblMasterDatabase[Confidence], tblMasterDatabase[Topic], A7, tblMasterDatabase[Status], "&lt;&gt;"))</f>
        <v>0</v>
      </c>
      <c r="F7" s="11">
        <f>10 * (1 - D7)</f>
        <v>0</v>
      </c>
    </row>
    <row r="8" spans="1:6">
      <c r="A8" s="4" t="s">
        <v>43</v>
      </c>
      <c r="B8" s="11">
        <f>COUNTIF(tblMasterDatabase[Topic], A8)</f>
        <v>0</v>
      </c>
      <c r="C8" s="11">
        <f>COUNTIFS(tblMasterDatabase[Topic], A8, tblMasterDatabase[Status], "&lt;&gt;")</f>
        <v>0</v>
      </c>
      <c r="D8" s="15">
        <f>IF(B8=0, 0, C8/B8)</f>
        <v>0</v>
      </c>
      <c r="E8" s="11">
        <f>IF(C8=0, 0, AVERAGEIFS(tblMasterDatabase[Confidence], tblMasterDatabase[Topic], A8, tblMasterDatabase[Status], "&lt;&gt;"))</f>
        <v>0</v>
      </c>
      <c r="F8" s="11">
        <f>10 * (1 - D8)</f>
        <v>0</v>
      </c>
    </row>
    <row r="9" spans="1:6">
      <c r="A9" s="4" t="s">
        <v>59</v>
      </c>
      <c r="B9" s="11">
        <f>COUNTIF(tblMasterDatabase[Topic], A9)</f>
        <v>0</v>
      </c>
      <c r="C9" s="11">
        <f>COUNTIFS(tblMasterDatabase[Topic], A9, tblMasterDatabase[Status], "&lt;&gt;")</f>
        <v>0</v>
      </c>
      <c r="D9" s="15">
        <f>IF(B9=0, 0, C9/B9)</f>
        <v>0</v>
      </c>
      <c r="E9" s="11">
        <f>IF(C9=0, 0, AVERAGEIFS(tblMasterDatabase[Confidence], tblMasterDatabase[Topic], A9, tblMasterDatabase[Status], "&lt;&gt;"))</f>
        <v>0</v>
      </c>
      <c r="F9" s="11">
        <f>10 * (1 - D9)</f>
        <v>0</v>
      </c>
    </row>
    <row r="10" spans="1:6">
      <c r="A10" s="4" t="s">
        <v>63</v>
      </c>
      <c r="B10" s="11">
        <f>COUNTIF(tblMasterDatabase[Topic], A10)</f>
        <v>0</v>
      </c>
      <c r="C10" s="11">
        <f>COUNTIFS(tblMasterDatabase[Topic], A10, tblMasterDatabase[Status], "&lt;&gt;")</f>
        <v>0</v>
      </c>
      <c r="D10" s="15">
        <f>IF(B10=0, 0, C10/B10)</f>
        <v>0</v>
      </c>
      <c r="E10" s="11">
        <f>IF(C10=0, 0, AVERAGEIFS(tblMasterDatabase[Confidence], tblMasterDatabase[Topic], A10, tblMasterDatabase[Status], "&lt;&gt;"))</f>
        <v>0</v>
      </c>
      <c r="F10" s="11">
        <f>10 * (1 - D10)</f>
        <v>0</v>
      </c>
    </row>
    <row r="11" spans="1:6">
      <c r="A11" s="4" t="s">
        <v>53</v>
      </c>
      <c r="B11" s="11">
        <f>COUNTIF(tblMasterDatabase[Topic], A11)</f>
        <v>0</v>
      </c>
      <c r="C11" s="11">
        <f>COUNTIFS(tblMasterDatabase[Topic], A11, tblMasterDatabase[Status], "&lt;&gt;")</f>
        <v>0</v>
      </c>
      <c r="D11" s="15">
        <f>IF(B11=0, 0, C11/B11)</f>
        <v>0</v>
      </c>
      <c r="E11" s="11">
        <f>IF(C11=0, 0, AVERAGEIFS(tblMasterDatabase[Confidence], tblMasterDatabase[Topic], A11, tblMasterDatabase[Status], "&lt;&gt;"))</f>
        <v>0</v>
      </c>
      <c r="F11" s="11">
        <f>10 * (1 - D11)</f>
        <v>0</v>
      </c>
    </row>
    <row r="12" spans="1:6">
      <c r="A12" s="4" t="s">
        <v>92</v>
      </c>
      <c r="B12" s="11">
        <f>COUNTIF(tblMasterDatabase[Topic], A12)</f>
        <v>0</v>
      </c>
      <c r="C12" s="11">
        <f>COUNTIFS(tblMasterDatabase[Topic], A12, tblMasterDatabase[Status], "&lt;&gt;")</f>
        <v>0</v>
      </c>
      <c r="D12" s="15">
        <f>IF(B12=0, 0, C12/B12)</f>
        <v>0</v>
      </c>
      <c r="E12" s="11">
        <f>IF(C12=0, 0, AVERAGEIFS(tblMasterDatabase[Confidence], tblMasterDatabase[Topic], A12, tblMasterDatabase[Status], "&lt;&gt;"))</f>
        <v>0</v>
      </c>
      <c r="F12" s="11">
        <f>10 * (1 - D12)</f>
        <v>0</v>
      </c>
    </row>
    <row r="13" spans="1:6">
      <c r="A13" s="4" t="s">
        <v>48</v>
      </c>
      <c r="B13" s="11">
        <f>COUNTIF(tblMasterDatabase[Topic], A13)</f>
        <v>0</v>
      </c>
      <c r="C13" s="11">
        <f>COUNTIFS(tblMasterDatabase[Topic], A13, tblMasterDatabase[Status], "&lt;&gt;")</f>
        <v>0</v>
      </c>
      <c r="D13" s="15">
        <f>IF(B13=0, 0, C13/B13)</f>
        <v>0</v>
      </c>
      <c r="E13" s="11">
        <f>IF(C13=0, 0, AVERAGEIFS(tblMasterDatabase[Confidence], tblMasterDatabase[Topic], A13, tblMasterDatabase[Status], "&lt;&gt;"))</f>
        <v>0</v>
      </c>
      <c r="F13" s="11">
        <f>10 * (1 - D13)</f>
        <v>0</v>
      </c>
    </row>
    <row r="14" spans="1:6">
      <c r="A14" s="4" t="s">
        <v>93</v>
      </c>
      <c r="B14" s="11">
        <f>COUNTIF(tblMasterDatabase[Topic], A14)</f>
        <v>0</v>
      </c>
      <c r="C14" s="11">
        <f>COUNTIFS(tblMasterDatabase[Topic], A14, tblMasterDatabase[Status], "&lt;&gt;")</f>
        <v>0</v>
      </c>
      <c r="D14" s="15">
        <f>IF(B14=0, 0, C14/B14)</f>
        <v>0</v>
      </c>
      <c r="E14" s="11">
        <f>IF(C14=0, 0, AVERAGEIFS(tblMasterDatabase[Confidence], tblMasterDatabase[Topic], A14, tblMasterDatabase[Status], "&lt;&gt;"))</f>
        <v>0</v>
      </c>
      <c r="F14" s="11">
        <f>10 * (1 - D14)</f>
        <v>0</v>
      </c>
    </row>
    <row r="15" spans="1:6">
      <c r="A15" s="4" t="s">
        <v>41</v>
      </c>
      <c r="B15" s="11">
        <f>COUNTIF(tblMasterDatabase[Topic], A15)</f>
        <v>0</v>
      </c>
      <c r="C15" s="11">
        <f>COUNTIFS(tblMasterDatabase[Topic], A15, tblMasterDatabase[Status], "&lt;&gt;")</f>
        <v>0</v>
      </c>
      <c r="D15" s="15">
        <f>IF(B15=0, 0, C15/B15)</f>
        <v>0</v>
      </c>
      <c r="E15" s="11">
        <f>IF(C15=0, 0, AVERAGEIFS(tblMasterDatabase[Confidence], tblMasterDatabase[Topic], A15, tblMasterDatabase[Status], "&lt;&gt;"))</f>
        <v>0</v>
      </c>
      <c r="F15" s="11">
        <f>10 * (1 - D15)</f>
        <v>0</v>
      </c>
    </row>
    <row r="16" spans="1:6">
      <c r="A16" s="4" t="s">
        <v>50</v>
      </c>
      <c r="B16" s="11">
        <f>COUNTIF(tblMasterDatabase[Topic], A16)</f>
        <v>0</v>
      </c>
      <c r="C16" s="11">
        <f>COUNTIFS(tblMasterDatabase[Topic], A16, tblMasterDatabase[Status], "&lt;&gt;")</f>
        <v>0</v>
      </c>
      <c r="D16" s="15">
        <f>IF(B16=0, 0, C16/B16)</f>
        <v>0</v>
      </c>
      <c r="E16" s="11">
        <f>IF(C16=0, 0, AVERAGEIFS(tblMasterDatabase[Confidence], tblMasterDatabase[Topic], A16, tblMasterDatabase[Status], "&lt;&gt;"))</f>
        <v>0</v>
      </c>
      <c r="F16" s="11">
        <f>10 * (1 - D16)</f>
        <v>0</v>
      </c>
    </row>
    <row r="17" spans="1:6">
      <c r="A17" s="4" t="s">
        <v>94</v>
      </c>
      <c r="B17" s="11">
        <f>COUNTIF(tblMasterDatabase[Topic], A17)</f>
        <v>0</v>
      </c>
      <c r="C17" s="11">
        <f>COUNTIFS(tblMasterDatabase[Topic], A17, tblMasterDatabase[Status], "&lt;&gt;")</f>
        <v>0</v>
      </c>
      <c r="D17" s="15">
        <f>IF(B17=0, 0, C17/B17)</f>
        <v>0</v>
      </c>
      <c r="E17" s="11">
        <f>IF(C17=0, 0, AVERAGEIFS(tblMasterDatabase[Confidence], tblMasterDatabase[Topic], A17, tblMasterDatabase[Status], "&lt;&gt;"))</f>
        <v>0</v>
      </c>
      <c r="F17" s="11">
        <f>10 * (1 - D17)</f>
        <v>0</v>
      </c>
    </row>
    <row r="18" spans="1:6">
      <c r="A18" s="4" t="s">
        <v>47</v>
      </c>
      <c r="B18" s="11">
        <f>COUNTIF(tblMasterDatabase[Topic], A18)</f>
        <v>0</v>
      </c>
      <c r="C18" s="11">
        <f>COUNTIFS(tblMasterDatabase[Topic], A18, tblMasterDatabase[Status], "&lt;&gt;")</f>
        <v>0</v>
      </c>
      <c r="D18" s="15">
        <f>IF(B18=0, 0, C18/B18)</f>
        <v>0</v>
      </c>
      <c r="E18" s="11">
        <f>IF(C18=0, 0, AVERAGEIFS(tblMasterDatabase[Confidence], tblMasterDatabase[Topic], A18, tblMasterDatabase[Status], "&lt;&gt;"))</f>
        <v>0</v>
      </c>
      <c r="F18" s="11">
        <f>10 * (1 - D18)</f>
        <v>0</v>
      </c>
    </row>
    <row r="19" spans="1:6">
      <c r="A19" s="4" t="s">
        <v>45</v>
      </c>
      <c r="B19" s="11">
        <f>COUNTIF(tblMasterDatabase[Topic], A19)</f>
        <v>0</v>
      </c>
      <c r="C19" s="11">
        <f>COUNTIFS(tblMasterDatabase[Topic], A19, tblMasterDatabase[Status], "&lt;&gt;")</f>
        <v>0</v>
      </c>
      <c r="D19" s="15">
        <f>IF(B19=0, 0, C19/B19)</f>
        <v>0</v>
      </c>
      <c r="E19" s="11">
        <f>IF(C19=0, 0, AVERAGEIFS(tblMasterDatabase[Confidence], tblMasterDatabase[Topic], A19, tblMasterDatabase[Status], "&lt;&gt;"))</f>
        <v>0</v>
      </c>
      <c r="F19" s="11">
        <f>10 * (1 - D19)</f>
        <v>0</v>
      </c>
    </row>
    <row r="20" spans="1:6">
      <c r="A20" s="4" t="s">
        <v>95</v>
      </c>
      <c r="B20" s="11">
        <f>COUNTIF(tblMasterDatabase[Topic], A20)</f>
        <v>0</v>
      </c>
      <c r="C20" s="11">
        <f>COUNTIFS(tblMasterDatabase[Topic], A20, tblMasterDatabase[Status], "&lt;&gt;")</f>
        <v>0</v>
      </c>
      <c r="D20" s="15">
        <f>IF(B20=0, 0, C20/B20)</f>
        <v>0</v>
      </c>
      <c r="E20" s="11">
        <f>IF(C20=0, 0, AVERAGEIFS(tblMasterDatabase[Confidence], tblMasterDatabase[Topic], A20, tblMasterDatabase[Status], "&lt;&gt;"))</f>
        <v>0</v>
      </c>
      <c r="F20" s="11">
        <f>10 * (1 - D20)</f>
        <v>0</v>
      </c>
    </row>
    <row r="22" spans="1:6">
      <c r="A22" s="3" t="s">
        <v>787</v>
      </c>
      <c r="D22" s="3" t="s">
        <v>790</v>
      </c>
    </row>
    <row r="23" spans="1:6">
      <c r="A23" s="5" t="s">
        <v>5</v>
      </c>
      <c r="B23" s="5" t="s">
        <v>788</v>
      </c>
      <c r="D23" s="5" t="s">
        <v>677</v>
      </c>
      <c r="E23" s="5" t="s">
        <v>788</v>
      </c>
    </row>
    <row r="24" spans="1:6">
      <c r="A24" s="4" t="s">
        <v>8</v>
      </c>
      <c r="B24" s="11">
        <f>COUNTIF(tblMasterDatabase[Status], "Green")</f>
        <v>0</v>
      </c>
      <c r="D24" s="4" t="s">
        <v>34</v>
      </c>
      <c r="E24" s="11">
        <f>COUNTIFS(tblMasterDatabase[Difficulty], "Easy", tblMasterDatabase[Status], "&lt;&gt;")</f>
        <v>0</v>
      </c>
    </row>
    <row r="25" spans="1:6">
      <c r="A25" s="4" t="s">
        <v>11</v>
      </c>
      <c r="B25" s="11">
        <f>COUNTIF(tblMasterDatabase[Status], "Yellow")</f>
        <v>0</v>
      </c>
      <c r="D25" s="4" t="s">
        <v>35</v>
      </c>
      <c r="E25" s="11">
        <f>COUNTIFS(tblMasterDatabase[Difficulty], "Medium", tblMasterDatabase[Status], "&lt;&gt;")</f>
        <v>0</v>
      </c>
    </row>
    <row r="26" spans="1:6">
      <c r="A26" s="4" t="s">
        <v>14</v>
      </c>
      <c r="B26" s="11">
        <f>COUNTIF(tblMasterDatabase[Status], "Red")</f>
        <v>0</v>
      </c>
      <c r="D26" s="4" t="s">
        <v>36</v>
      </c>
      <c r="E26" s="11">
        <f>COUNTIFS(tblMasterDatabase[Difficulty], "Hard", tblMasterDatabase[Status], "&lt;&gt;")</f>
        <v>0</v>
      </c>
    </row>
    <row r="27" spans="1:6">
      <c r="A27" s="4" t="s">
        <v>789</v>
      </c>
      <c r="B27" s="11">
        <f>ROWS(tblMasterDatabase) - COUNTIF(tblMasterDatabase[Status], "&lt;&gt;")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B2:U21"/>
  <sheetViews>
    <sheetView showGridLines="0" workbookViewId="0"/>
  </sheetViews>
  <sheetFormatPr defaultRowHeight="15"/>
  <cols>
    <col min="1" max="1" width="3.7109375" customWidth="1"/>
    <col min="2" max="3" width="10.7109375" customWidth="1"/>
    <col min="4" max="4" width="2.7109375" customWidth="1"/>
    <col min="5" max="6" width="10.7109375" customWidth="1"/>
    <col min="7" max="7" width="2.7109375" customWidth="1"/>
    <col min="8" max="9" width="10.7109375" customWidth="1"/>
    <col min="10" max="10" width="2.7109375" customWidth="1"/>
    <col min="11" max="12" width="10.7109375" customWidth="1"/>
    <col min="13" max="13" width="2.7109375" customWidth="1"/>
    <col min="14" max="15" width="10.7109375" customWidth="1"/>
    <col min="16" max="16" width="2.7109375" customWidth="1"/>
    <col min="17" max="18" width="10.7109375" customWidth="1"/>
    <col min="19" max="19" width="2.7109375" customWidth="1"/>
    <col min="20" max="21" width="10.7109375" customWidth="1"/>
  </cols>
  <sheetData>
    <row r="2" spans="2:18">
      <c r="B2" s="1" t="s">
        <v>791</v>
      </c>
    </row>
    <row r="3" spans="2:18">
      <c r="B3" s="2" t="s">
        <v>792</v>
      </c>
    </row>
    <row r="5" spans="2:18">
      <c r="B5" s="16" t="s">
        <v>793</v>
      </c>
      <c r="C5" s="16"/>
      <c r="E5" s="16" t="s">
        <v>794</v>
      </c>
      <c r="F5" s="16"/>
      <c r="H5" s="16" t="s">
        <v>795</v>
      </c>
      <c r="I5" s="16"/>
      <c r="K5" s="16" t="s">
        <v>796</v>
      </c>
      <c r="L5" s="16"/>
    </row>
    <row r="6" spans="2:18" ht="28" customHeight="1">
      <c r="B6" s="18">
        <f>COUNTIFS(tblMasterDatabase[Attempt Date], TODAY())</f>
        <v>0</v>
      </c>
      <c r="C6" s="18"/>
      <c r="E6" s="18">
        <f>307 - COUNTIFS(tblMasterDatabase[Status], "&lt;&gt;")</f>
        <v>0</v>
      </c>
      <c r="F6" s="18"/>
      <c r="H6" s="18">
        <f>COUNTIFS(tblMasterDatabase[Status], "&lt;&gt;") &amp; " / 307 (" &amp; TEXT(COUNTIFS(tblMasterDatabase[Status], "&lt;&gt;")/307, "0%") &amp; ")"</f>
        <v>0</v>
      </c>
      <c r="I6" s="18"/>
      <c r="K6" s="17">
        <f>35% * IF(COUNTIF(tblMasterDatabase[Status], "&lt;&gt;")=0, 0, COUNTIFS(tblMasterDatabase[Status], "&lt;&gt;", tblMasterDatabase[Next Revision], "&gt;="&amp;TODAY()) / COUNTIF(tblMasterDatabase[Status], "&lt;&gt;")) + 25% * AVERAGE(tblPatternTracker[Mastery Score]) + 20% * IF(COUNTIF(tblMasterDatabase[ROI], "&gt;=8")=0, 0, COUNTIFS(tblMasterDatabase[ROI], "&gt;=8", tblMasterDatabase[Status], "&lt;&gt;") / COUNTIF(tblMasterDatabase[ROI], "&gt;=8")) + 10% * IF(COUNT(tblMockOA[Score])=0, 0.7, AVERAGE(tblMockOA[Score])) + 10% * IF(COUNTIFS(tblMasterDatabase[Status], "&lt;&gt;")=0, 0, AVERAGE(tblMasterDatabase[Confidence])/5)</f>
        <v>0</v>
      </c>
      <c r="L6" s="17"/>
    </row>
    <row r="7" spans="2:18">
      <c r="B7" s="18"/>
      <c r="C7" s="18"/>
      <c r="E7" s="18"/>
      <c r="F7" s="18"/>
      <c r="H7" s="12">
        <f>REPT("█", ROUND(COUNTIFS(tblMasterDatabase[Status], "&lt;&gt;")/307 * 20, 0)) &amp; REPT("░", 20 - ROUND(COUNTIFS(tblMasterDatabase[Status], "&lt;&gt;")/307 * 20, 0))</f>
        <v>0</v>
      </c>
      <c r="I7" s="12"/>
      <c r="K7" s="19">
        <f>IF(K6&lt;0.6, "Needs Work", IF(K6&lt;0.75, "Improving", IF(K6&lt;0.9, "Placement Ready", "Strong Candidate")))</f>
        <v>0</v>
      </c>
      <c r="L7" s="19"/>
    </row>
    <row r="9" spans="2:18">
      <c r="B9" s="3" t="s">
        <v>797</v>
      </c>
      <c r="K9" s="3" t="s">
        <v>801</v>
      </c>
    </row>
    <row r="10" spans="2:18">
      <c r="B10" s="16" t="s">
        <v>798</v>
      </c>
      <c r="C10" s="16"/>
      <c r="E10" s="16" t="s">
        <v>799</v>
      </c>
      <c r="F10" s="16"/>
      <c r="H10" s="16" t="s">
        <v>800</v>
      </c>
      <c r="I10" s="16"/>
      <c r="K10" s="16" t="s">
        <v>802</v>
      </c>
      <c r="L10" s="16"/>
      <c r="N10" s="16" t="s">
        <v>803</v>
      </c>
      <c r="O10" s="16"/>
      <c r="Q10" s="16" t="s">
        <v>804</v>
      </c>
      <c r="R10" s="16"/>
    </row>
    <row r="11" spans="2:18" ht="28" customHeight="1">
      <c r="B11" s="18">
        <f>COUNTIFS(tblMasterDatabase[Attempt Date], TODAY(), tblMasterDatabase[Status], "Green")</f>
        <v>0</v>
      </c>
      <c r="C11" s="18"/>
      <c r="E11" s="18">
        <f>COUNTIFS(tblMasterDatabase[Attempt Date], TODAY(), tblMasterDatabase[Status], "Yellow")</f>
        <v>0</v>
      </c>
      <c r="F11" s="18"/>
      <c r="H11" s="18">
        <f>COUNTIFS(tblMasterDatabase[Attempt Date], TODAY(), tblMasterDatabase[Status], "Red")</f>
        <v>0</v>
      </c>
      <c r="I11" s="18"/>
      <c r="K11" s="18">
        <f>COUNTIFS(tblMasterDatabase[Next Revision], TODAY(), tblMasterDatabase[Status], "Green")</f>
        <v>0</v>
      </c>
      <c r="L11" s="18"/>
      <c r="N11" s="18">
        <f>COUNTIFS(tblMasterDatabase[Next Revision], TODAY(), tblMasterDatabase[Status], "Yellow")</f>
        <v>0</v>
      </c>
      <c r="O11" s="18"/>
      <c r="Q11" s="18">
        <f>COUNTIFS(tblMasterDatabase[Next Revision], TODAY(), tblMasterDatabase[Status], "Red")</f>
        <v>0</v>
      </c>
      <c r="R11" s="18"/>
    </row>
    <row r="12" spans="2:18">
      <c r="B12" s="18"/>
      <c r="C12" s="18"/>
      <c r="E12" s="18"/>
      <c r="F12" s="18"/>
      <c r="H12" s="18"/>
      <c r="I12" s="18"/>
      <c r="K12" s="18"/>
      <c r="L12" s="18"/>
      <c r="N12" s="18"/>
      <c r="O12" s="18"/>
      <c r="Q12" s="18"/>
      <c r="R12" s="18"/>
    </row>
    <row r="13" spans="2:18">
      <c r="K13" s="9">
        <f>HYPERLINK("#'Today''s Revision'!A1", "👉 Open Detailed Revision Sheet")</f>
        <v>0</v>
      </c>
      <c r="L13" s="9"/>
      <c r="M13" s="9"/>
    </row>
    <row r="15" spans="2:18">
      <c r="B15" s="3" t="s">
        <v>805</v>
      </c>
    </row>
    <row r="16" spans="2:18">
      <c r="B16" s="16" t="s">
        <v>806</v>
      </c>
      <c r="C16" s="16"/>
      <c r="E16" s="16" t="s">
        <v>807</v>
      </c>
      <c r="F16" s="16"/>
      <c r="H16" s="16" t="s">
        <v>808</v>
      </c>
      <c r="I16" s="16"/>
      <c r="K16" s="16" t="s">
        <v>809</v>
      </c>
      <c r="L16" s="16"/>
    </row>
    <row r="17" spans="2:21" ht="28" customHeight="1">
      <c r="B17" s="18">
        <f>COUNTIFS(tblMasterDatabase[Attempt Date], "&gt;="&amp;(TODAY()-7))</f>
        <v>0</v>
      </c>
      <c r="C17" s="18"/>
      <c r="E17" s="18">
        <f>COUNTIFS(tblMasterDatabase[Attempt Date], "&gt;="&amp;(TODAY()-30))</f>
        <v>0</v>
      </c>
      <c r="F17" s="18"/>
      <c r="H17" s="20">
        <f>IFERROR(IF(Settings!I2=1, MATCH(0, Settings!I2:I31, 0)-1, MATCH(0, Settings!I3:I31, 0)-1), 30)</f>
        <v>0</v>
      </c>
      <c r="I17" s="20"/>
      <c r="K17" s="20">
        <f>MAX(30, H17)</f>
        <v>0</v>
      </c>
      <c r="L17" s="20"/>
    </row>
    <row r="18" spans="2:21">
      <c r="B18" s="18"/>
      <c r="C18" s="18"/>
      <c r="E18" s="18"/>
      <c r="F18" s="18"/>
      <c r="H18" s="20"/>
      <c r="I18" s="20"/>
      <c r="K18" s="20"/>
      <c r="L18" s="20"/>
    </row>
    <row r="20" spans="2:21">
      <c r="B20" s="3" t="s">
        <v>810</v>
      </c>
    </row>
    <row r="21" spans="2:21">
      <c r="B21" s="21">
        <f>HYPERLINK("#Dashboard!A1", "Dashboard 🏠")</f>
        <v>0</v>
      </c>
      <c r="C21" s="21"/>
      <c r="E21" s="21">
        <f>HYPERLINK("#'Master Problem Database'!A1", "Master Database 🗄️")</f>
        <v>0</v>
      </c>
      <c r="F21" s="21"/>
      <c r="H21" s="21">
        <f>HYPERLINK("#'Today''s Revision'!A1", "Today''s Revision ⏰")</f>
        <v>0</v>
      </c>
      <c r="I21" s="21"/>
      <c r="K21" s="21">
        <f>HYPERLINK("#'Search Engine'!A1", "Search Engine 🔍")</f>
        <v>0</v>
      </c>
      <c r="L21" s="21"/>
      <c r="N21" s="21">
        <f>HYPERLINK("#'Pattern Encyclopedia'!A1", "Pattern Encyclopedia 📚")</f>
        <v>0</v>
      </c>
      <c r="O21" s="21"/>
      <c r="Q21" s="21">
        <f>HYPERLINK("#'Company Readiness'!A1", "Company Readiness 🏢")</f>
        <v>0</v>
      </c>
      <c r="R21" s="21"/>
      <c r="T21" s="21">
        <f>HYPERLINK("#Analytics!A1", "Analytics 📊")</f>
        <v>0</v>
      </c>
      <c r="U21" s="21"/>
    </row>
  </sheetData>
  <mergeCells count="38">
    <mergeCell ref="B5:C5"/>
    <mergeCell ref="B6:C7"/>
    <mergeCell ref="E5:F5"/>
    <mergeCell ref="E6:F7"/>
    <mergeCell ref="H5:I5"/>
    <mergeCell ref="H6:I6"/>
    <mergeCell ref="H7:I7"/>
    <mergeCell ref="K5:L5"/>
    <mergeCell ref="K6:L6"/>
    <mergeCell ref="K7:L7"/>
    <mergeCell ref="B10:C10"/>
    <mergeCell ref="B11:C12"/>
    <mergeCell ref="E10:F10"/>
    <mergeCell ref="E11:F12"/>
    <mergeCell ref="H10:I10"/>
    <mergeCell ref="H11:I12"/>
    <mergeCell ref="K10:L10"/>
    <mergeCell ref="K11:L12"/>
    <mergeCell ref="N10:O10"/>
    <mergeCell ref="N11:O12"/>
    <mergeCell ref="Q10:R10"/>
    <mergeCell ref="Q11:R12"/>
    <mergeCell ref="K13:M13"/>
    <mergeCell ref="B16:C16"/>
    <mergeCell ref="B17:C18"/>
    <mergeCell ref="E16:F16"/>
    <mergeCell ref="E17:F18"/>
    <mergeCell ref="H16:I16"/>
    <mergeCell ref="H17:I18"/>
    <mergeCell ref="K16:L16"/>
    <mergeCell ref="K17:L18"/>
    <mergeCell ref="B21:C21"/>
    <mergeCell ref="E21:F21"/>
    <mergeCell ref="H21:I21"/>
    <mergeCell ref="K21:L21"/>
    <mergeCell ref="N21:O21"/>
    <mergeCell ref="Q21:R21"/>
    <mergeCell ref="T21:U2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2:C20"/>
  <sheetViews>
    <sheetView showGridLines="0" workbookViewId="0"/>
  </sheetViews>
  <sheetFormatPr defaultRowHeight="15"/>
  <cols>
    <col min="1" max="1" width="5.7109375" customWidth="1"/>
    <col min="2" max="2" width="80.7109375" customWidth="1"/>
  </cols>
  <sheetData>
    <row r="2" spans="1:3">
      <c r="B2" s="1" t="s">
        <v>811</v>
      </c>
    </row>
    <row r="3" spans="1:3">
      <c r="B3" s="2" t="s">
        <v>812</v>
      </c>
    </row>
    <row r="5" spans="1:3">
      <c r="B5" s="5" t="s">
        <v>813</v>
      </c>
      <c r="C5" s="5" t="s">
        <v>814</v>
      </c>
    </row>
    <row r="7" spans="1:3">
      <c r="A7" s="11">
        <v>1</v>
      </c>
      <c r="B7" s="4" t="s">
        <v>815</v>
      </c>
    </row>
    <row r="8" spans="1:3">
      <c r="A8" s="11">
        <v>2</v>
      </c>
      <c r="B8" s="4" t="s">
        <v>816</v>
      </c>
    </row>
    <row r="9" spans="1:3">
      <c r="A9" s="11">
        <v>3</v>
      </c>
      <c r="B9" s="4" t="s">
        <v>817</v>
      </c>
    </row>
    <row r="10" spans="1:3">
      <c r="A10" s="11">
        <v>4</v>
      </c>
      <c r="B10" s="4" t="s">
        <v>818</v>
      </c>
    </row>
    <row r="11" spans="1:3">
      <c r="A11" s="11">
        <v>5</v>
      </c>
      <c r="B11" s="4" t="s">
        <v>819</v>
      </c>
    </row>
    <row r="12" spans="1:3">
      <c r="A12" s="11">
        <v>6</v>
      </c>
      <c r="B12" s="4" t="s">
        <v>820</v>
      </c>
    </row>
    <row r="13" spans="1:3">
      <c r="A13" s="11">
        <v>7</v>
      </c>
      <c r="B13" s="4" t="s">
        <v>821</v>
      </c>
    </row>
    <row r="14" spans="1:3">
      <c r="A14" s="11">
        <v>8</v>
      </c>
      <c r="B14" s="4" t="s">
        <v>822</v>
      </c>
    </row>
    <row r="15" spans="1:3">
      <c r="A15" s="11">
        <v>9</v>
      </c>
      <c r="B15" s="4" t="s">
        <v>823</v>
      </c>
    </row>
    <row r="16" spans="1:3">
      <c r="A16" s="11">
        <v>10</v>
      </c>
      <c r="B16" s="4" t="s">
        <v>824</v>
      </c>
    </row>
    <row r="17" spans="1:2">
      <c r="A17" s="11">
        <v>11</v>
      </c>
      <c r="B17" s="4" t="s">
        <v>825</v>
      </c>
    </row>
    <row r="18" spans="1:2">
      <c r="A18" s="11">
        <v>12</v>
      </c>
      <c r="B18" s="4" t="s">
        <v>826</v>
      </c>
    </row>
    <row r="19" spans="1:2">
      <c r="A19" s="11">
        <v>13</v>
      </c>
      <c r="B19" s="4" t="s">
        <v>827</v>
      </c>
    </row>
    <row r="20" spans="1:2">
      <c r="A20" s="11">
        <v>14</v>
      </c>
      <c r="B20" s="4" t="s">
        <v>828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6"/>
  <sheetViews>
    <sheetView showGridLines="0" workbookViewId="0"/>
  </sheetViews>
  <sheetFormatPr defaultRowHeight="15"/>
  <cols>
    <col min="1" max="1" width="15.7109375" customWidth="1"/>
    <col min="2" max="2" width="12.7109375" customWidth="1"/>
    <col min="3" max="3" width="18.7109375" customWidth="1"/>
    <col min="4" max="4" width="65.7109375" customWidth="1"/>
  </cols>
  <sheetData>
    <row r="1" spans="1:4">
      <c r="A1" s="1" t="s">
        <v>829</v>
      </c>
    </row>
    <row r="3" spans="1:4">
      <c r="A3" s="5" t="s">
        <v>830</v>
      </c>
      <c r="B3" s="5" t="s">
        <v>831</v>
      </c>
      <c r="C3" s="5" t="s">
        <v>832</v>
      </c>
      <c r="D3" s="5" t="s">
        <v>833</v>
      </c>
    </row>
    <row r="4" spans="1:4">
      <c r="A4" s="4" t="s">
        <v>834</v>
      </c>
      <c r="B4" s="4" t="s">
        <v>835</v>
      </c>
      <c r="C4" s="4" t="s">
        <v>836</v>
      </c>
      <c r="D4" s="4" t="s">
        <v>837</v>
      </c>
    </row>
    <row r="5" spans="1:4">
      <c r="A5" s="4" t="s">
        <v>838</v>
      </c>
      <c r="B5" s="4" t="s">
        <v>835</v>
      </c>
      <c r="C5" s="4" t="s">
        <v>836</v>
      </c>
      <c r="D5" s="4" t="s">
        <v>839</v>
      </c>
    </row>
    <row r="6" spans="1:4">
      <c r="A6" s="4" t="s">
        <v>840</v>
      </c>
      <c r="B6" s="4" t="s">
        <v>835</v>
      </c>
      <c r="C6" s="4" t="s">
        <v>836</v>
      </c>
      <c r="D6" s="4" t="s">
        <v>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Instructions</vt:lpstr>
      <vt:lpstr>Settings</vt:lpstr>
      <vt:lpstr>Pattern Encyclopedia</vt:lpstr>
      <vt:lpstr>Master Problem Database</vt:lpstr>
      <vt:lpstr>Smart Recommendations</vt:lpstr>
      <vt:lpstr>Search Engine</vt:lpstr>
      <vt:lpstr>Today's Revision</vt:lpstr>
      <vt:lpstr>Green Problems</vt:lpstr>
      <vt:lpstr>Yellow Problems</vt:lpstr>
      <vt:lpstr>Red Problems</vt:lpstr>
      <vt:lpstr>Pattern Tracker</vt:lpstr>
      <vt:lpstr>Company Readiness</vt:lpstr>
      <vt:lpstr>Mock OA Tracker</vt:lpstr>
      <vt:lpstr>Mistake Database</vt:lpstr>
      <vt:lpstr>CS Fundamentals</vt:lpstr>
      <vt:lpstr>Interview Journal</vt:lpstr>
      <vt:lpstr>Analytics</vt:lpstr>
      <vt:lpstr>Dashboard</vt:lpstr>
      <vt:lpstr>Notes</vt:lpstr>
      <vt:lpstr>Changelog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2026-06-28T10:15:05Z</dcterms:created>
  <dcterms:modified xsi:type="dcterms:W3CDTF">2026-06-28T10:15:05Z</dcterms:modified>
</cp:coreProperties>
</file>